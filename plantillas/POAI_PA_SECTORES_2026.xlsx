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Desktop\PAA_2026\"/>
    </mc:Choice>
  </mc:AlternateContent>
  <xr:revisionPtr revIDLastSave="0" documentId="13_ncr:1_{FB230549-A7B5-42FD-8DDF-5111C19BDCCB}" xr6:coauthVersionLast="47" xr6:coauthVersionMax="47" xr10:uidLastSave="{00000000-0000-0000-0000-000000000000}"/>
  <bookViews>
    <workbookView xWindow="-120" yWindow="-120" windowWidth="29040" windowHeight="17520" xr2:uid="{E677481D-6CBE-4C22-B0F0-B717D33FB5A6}"/>
  </bookViews>
  <sheets>
    <sheet name="POAI - PA-2026" sheetId="1" r:id="rId1"/>
  </sheets>
  <definedNames>
    <definedName name="_xlnm._FilterDatabase" localSheetId="0" hidden="1">'POAI - PA-2026'!$A$2:$AB$2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75" i="1" l="1"/>
  <c r="AB67" i="1" l="1"/>
  <c r="AB64" i="1"/>
  <c r="AB23" i="1"/>
  <c r="AB17" i="1"/>
  <c r="AB12" i="1"/>
  <c r="AB34" i="1"/>
  <c r="AB27" i="1"/>
  <c r="N8" i="1" l="1"/>
  <c r="N11" i="1"/>
  <c r="U45" i="1"/>
  <c r="N55" i="1"/>
  <c r="N46" i="1"/>
  <c r="U61" i="1"/>
  <c r="AB33" i="1" l="1"/>
  <c r="U54" i="1" l="1"/>
  <c r="AB70" i="1" l="1"/>
  <c r="AB39" i="1"/>
  <c r="AB37" i="1"/>
  <c r="AB38" i="1"/>
  <c r="AB55" i="1"/>
  <c r="AB58" i="1"/>
  <c r="AB18" i="1"/>
  <c r="AB5" i="1"/>
  <c r="AB19" i="1" l="1"/>
  <c r="AB16" i="1"/>
  <c r="AB3" i="1"/>
  <c r="AB4" i="1"/>
  <c r="AB6" i="1"/>
  <c r="AB7" i="1"/>
  <c r="AB8" i="1"/>
  <c r="AB9" i="1"/>
  <c r="AB10" i="1"/>
  <c r="AB11" i="1"/>
  <c r="AB13" i="1"/>
  <c r="AB14" i="1"/>
  <c r="AB15" i="1"/>
  <c r="AB20" i="1"/>
  <c r="AB21" i="1"/>
  <c r="AB22" i="1"/>
  <c r="AB24" i="1"/>
  <c r="AB25" i="1"/>
  <c r="AB26" i="1"/>
  <c r="AB28" i="1"/>
  <c r="AB29" i="1"/>
  <c r="AB30" i="1"/>
  <c r="AB31" i="1"/>
  <c r="AB32" i="1"/>
  <c r="AB35" i="1"/>
  <c r="AB36" i="1"/>
  <c r="AB40" i="1"/>
  <c r="AB41" i="1"/>
  <c r="AB42" i="1"/>
  <c r="AB43" i="1"/>
  <c r="AB44" i="1"/>
  <c r="AB45" i="1"/>
  <c r="AB46" i="1"/>
  <c r="AB47" i="1"/>
  <c r="AB48" i="1"/>
  <c r="AB49" i="1"/>
  <c r="AB50" i="1"/>
  <c r="AB51" i="1"/>
  <c r="AB52" i="1"/>
  <c r="AB53" i="1"/>
  <c r="AB54" i="1"/>
  <c r="AB56" i="1"/>
  <c r="AB57" i="1"/>
  <c r="AB59" i="1"/>
  <c r="AB60" i="1"/>
  <c r="AB61" i="1"/>
  <c r="AB62" i="1"/>
  <c r="AB63" i="1"/>
  <c r="AB65" i="1"/>
  <c r="AB66" i="1"/>
  <c r="AB68" i="1"/>
  <c r="AB69" i="1"/>
  <c r="AB71" i="1"/>
  <c r="AB72" i="1"/>
  <c r="AB73" i="1"/>
  <c r="AB74" i="1"/>
  <c r="J46" i="1" l="1"/>
  <c r="J65" i="1"/>
  <c r="J66" i="1"/>
</calcChain>
</file>

<file path=xl/sharedStrings.xml><?xml version="1.0" encoding="utf-8"?>
<sst xmlns="http://schemas.openxmlformats.org/spreadsheetml/2006/main" count="588" uniqueCount="337">
  <si>
    <t>Cod. Indicador de Producto</t>
  </si>
  <si>
    <t>Meta Cuatrienio</t>
  </si>
  <si>
    <t>BPIM</t>
  </si>
  <si>
    <t>1.2 Mi Educación con Calidad y Pertinencia (22)</t>
  </si>
  <si>
    <t>1.2.1 Calidad, cobertura y fortalecimiento de la educación inicial, preescolar, básica y media (2201)</t>
  </si>
  <si>
    <t>Beneficiarios del Programa de Alimentación Escolar - Hambre Cero para nuestros niños, niñas y Adolescentes.</t>
  </si>
  <si>
    <t>Beneficiarios del Programa transporte escolar</t>
  </si>
  <si>
    <t>Sedes Educativas con mejoramiento de la infraestructura (baterías sanitarias, comedor, cubiertas y salones)</t>
  </si>
  <si>
    <t>Sedes Educativas con mantenimiento preventivo de la infraestructura</t>
  </si>
  <si>
    <t>Foro Educativo Municipal realizados en el Municipio de Frontino – con enfoque territorial subregional.</t>
  </si>
  <si>
    <t>1.3 Mi Cultura y Patrimonio para el Identidad y el Reconocimiento (33)</t>
  </si>
  <si>
    <t>1.3.1 Promoción y acceso efectivo a procesos culturales y artísticos (3301)</t>
  </si>
  <si>
    <t>Personas atendidas en programa de formación Artística y Cultural desde la Secretaría de Educación, Cultura y Desarrollo Comunitario desde los diferentes espacios. Con enfoque Étnico y Territorial.</t>
  </si>
  <si>
    <t>Usuarios atendidos en la Red municipal de Bibliotecas de Frontino</t>
  </si>
  <si>
    <t>Eventos de Circulación Artística y Cultural Realizado En el Municipio de Frontino</t>
  </si>
  <si>
    <t>Casas de la Cultura con Adecuación y Mantenimiento en el área Urbana y Rural del municipio de Frontino</t>
  </si>
  <si>
    <t xml:space="preserve">Documentos de Planeación Cultural en el Municipio de Frontino Realizados (Plan LEO) </t>
  </si>
  <si>
    <t>1.3.2 Gestión, protección y salvaguardia del patrimonio cultural frontineño (3302)</t>
  </si>
  <si>
    <t xml:space="preserve">Procesos de Salvaguardia del Patrimonio Inmaterial realizados en el municipio de Frontino </t>
  </si>
  <si>
    <t>Publicaciones realizadas para la divulgación y protección del patrimonio Cultural de Frontino</t>
  </si>
  <si>
    <t>1.4 El Deporte y la Recreación nos Une - Actividad Física, Deporte y Recreación para un Frontino Saludable (43)</t>
  </si>
  <si>
    <t>1.4.1 Fomento a la recreación, la actividad física y el deporte (4301)</t>
  </si>
  <si>
    <t>Parques recreativos con mantenimiento periódico en el área urbana y rural</t>
  </si>
  <si>
    <t>Víctimas caracterizadas para su posterior atención, asistencia y reparación integral a través de la oficina municipal de atención a las víctimas</t>
  </si>
  <si>
    <t>Personas con asistencia humanitaria en posibles eventos de violencia en el territorio</t>
  </si>
  <si>
    <t>Niños y niñas atendidos en Servicio integrales en Salud, Alimentación, Educación, psicosocial - entornos protectores</t>
  </si>
  <si>
    <t>Niños, niñas, adolescentes y jóvenes atendidos en los servicios de restablecimiento en la administración de justicia</t>
  </si>
  <si>
    <t>Acciones ejecutadas con las comunidades en temas de fortalecimiento del tejido social y construcción de escenarios comunitarios protectores de derechos.</t>
  </si>
  <si>
    <t>Familias atendidas en de promoción de temas de dinámica relacional y desarrollo autónomo</t>
  </si>
  <si>
    <t>Adultos mayores atendidos con servicios integrales (Salud, Recreación, Cultura, Alimentación)</t>
  </si>
  <si>
    <t>Centros de día para el adulto mayor modificados</t>
  </si>
  <si>
    <t>Personas con discapacidad atendidas con servicios integrales en articulación con las diferentes instituciones y programas en el municipio</t>
  </si>
  <si>
    <t>Mejoramiento de vivienda de Interés Social en el área urbana y rural.</t>
  </si>
  <si>
    <t>Programa de Acceso al agua que incluye la optimización de redes de distribución, desarenadores, número de tanques y viviendas beneficiadas en el área urbano y rural</t>
  </si>
  <si>
    <t>Programa de manejo integral aguas residuales que incluye la ampliación de redes de alcantarillado, colectores, obras conexas y sitios de vertido</t>
  </si>
  <si>
    <t>Número de usuarios de acueducto y alcantarillado beneficiados con subsidio</t>
  </si>
  <si>
    <t>Negocios verdes consolidados con asistencia técnica en el municipio de Frontino</t>
  </si>
  <si>
    <t>Árboles plantados en áreas d procesos de recuperación, fuentes hídricas y reforestación</t>
  </si>
  <si>
    <t xml:space="preserve">Establecer condiciones para la creación de Áreas protegidas para la conservación </t>
  </si>
  <si>
    <t>Personas capacitadas hacia el conocimiento de la biodiversidad y los ecosistemas para sensibilizar a la población despertar la conciencia ambiental.</t>
  </si>
  <si>
    <t>Mejoramiento de la Red de Alumbrado Público incluye cambio de Tecnología de Luminarias</t>
  </si>
  <si>
    <t>Personas capacitadas en seguridad del sector productivo minero - apoyo a la pequeña minería y formalización</t>
  </si>
  <si>
    <t>Unidades productivas mineras beneficiarias de asistencia técnica para regularización y formalización</t>
  </si>
  <si>
    <t>Mejoramiento de vías terciarias para la competitividad del Campo a través de Placas Huella en sitios Críticos</t>
  </si>
  <si>
    <t>Mantenimiento de Puentes en vías terciarias existentes que permitan la movilidad social y económica del sector Rural</t>
  </si>
  <si>
    <t>Mantenimiento preventivo y correctivo en caminos ancestrales existentes que permitan la movilidad social y económica del sector Rural</t>
  </si>
  <si>
    <t>Construcción de Puentes Nuevos en caminos ancestrales existentes que permitan la movilidad social y económica del sector Rural</t>
  </si>
  <si>
    <t>Mantenimiento preventivo y correctivo de Vías Terciarias con intervención periódica preventiva</t>
  </si>
  <si>
    <t xml:space="preserve">Mejoramiento de Vías Urbanas para la movilidad social y económica </t>
  </si>
  <si>
    <t>Programa de capacitación en asuntos turísticos</t>
  </si>
  <si>
    <t>Asistencia Técnica para pequeños productores agropecuarios</t>
  </si>
  <si>
    <t>Organizaciones de productores formales apoyadas la adquisición de competencias comerciales y en casos requeridos, la inserción o consolidación en encadenamientos comerciales.</t>
  </si>
  <si>
    <t>Elaborar Mapas de Zonificación para el ordenamiento social y el desarrollo Agropecuario</t>
  </si>
  <si>
    <t>Cadenas Productivas municipales apoyadas con asistencia y acompañamiento</t>
  </si>
  <si>
    <t>Espacios de participación promovidos para el ejercicio de la participación ciudadana desde los diferentes comités, consejos, mesas, asociaciones y Juntas de Acción Comunal / Asocomunal, Cabildo Adulto Mayor.</t>
  </si>
  <si>
    <t>Apoyo a las Juntas de acción a través adecuación de Salones comunales</t>
  </si>
  <si>
    <t>Obras de infraestructura para la reducción del riesgo de desastres realizadas</t>
  </si>
  <si>
    <t>Personas atendidas en eventos de emergencia o desastre en la jurisdicción del municipio</t>
  </si>
  <si>
    <t xml:space="preserve">Adecuación de los diferentes sedes, oficinas y edificios de la entidad territorial </t>
  </si>
  <si>
    <t xml:space="preserve">Mantenimiento preventivo de los diferentes sedes, oficinas y edificios de la entidad territorial </t>
  </si>
  <si>
    <t>Atención con enfoque diferencial para comunidades étnicas desde la Casa de Justicia Implementados - descentralización de servicios</t>
  </si>
  <si>
    <t>Programas de atención a poblaciones vulnerables en articulación con las demás instituciones del municipio realizadas</t>
  </si>
  <si>
    <t>Servicios de Alimentación para personas privadas de la libertad en el marco de los derechos humanos ejecutados</t>
  </si>
  <si>
    <t>Servicios de acompañamiento  para el desarrollo humano  de personas privadas de la libertad en el marco de los derechos humanos ejecutados</t>
  </si>
  <si>
    <t>Programa</t>
  </si>
  <si>
    <t>Cod Programa</t>
  </si>
  <si>
    <t>Linea</t>
  </si>
  <si>
    <t>LE-1</t>
  </si>
  <si>
    <t>LE-2</t>
  </si>
  <si>
    <t>LE-3</t>
  </si>
  <si>
    <t>LE-4</t>
  </si>
  <si>
    <t>Componente</t>
  </si>
  <si>
    <t xml:space="preserve"> 1.5 Desarrollo Social Inclusivo y Resiliente - Atención Integral a Poblaciones Vulnerables y en Situación de desprotección social (41)</t>
  </si>
  <si>
    <t xml:space="preserve"> 1.5.1 Atención, asistencia y reparación integral a las víctimas del conflicto armado (4101)</t>
  </si>
  <si>
    <t>1.5.2 Desarrollo integral y fortalecimiento de las capacidades de la primera infancia, infancia, adolescencia, la juventud y de las familias. (4102)</t>
  </si>
  <si>
    <t>1.5.4 Atención integral de población en situación permanente de desprotección social y/o familiar: Población en situación de discapacidad, Adulto Mayor y Habitantes de Calle (4104)</t>
  </si>
  <si>
    <t>1.6 Inclusión y Equidad con Vivienda, Ordenamiento del Territorio, Agua Potable y Saneamiento Básico (40)</t>
  </si>
  <si>
    <t xml:space="preserve"> 1.6.1 Acceso a soluciones de vivienda digna (4001)</t>
  </si>
  <si>
    <t>1.6.3 Acceso De La Población A Los Servicios De Agua Potable Y Saneamiento Básico (4003)</t>
  </si>
  <si>
    <t>2.1 Medio Ambiente Viable y Perdurable - Sostenibilidad y Conservación del Agua, la Biodiversidad y la Acción climática (32)</t>
  </si>
  <si>
    <t>2.1.1 Fortalecimiento del desempeño ambiental de los sectores productivos (3201)</t>
  </si>
  <si>
    <t>2.1.2 Conservación de la biodiversidad y sus servicios ecosistémicos para el desarrollo territorial (3202)</t>
  </si>
  <si>
    <t>2.1.3 Gestión integral del recurso hídrico y cuidado del agua (3203)</t>
  </si>
  <si>
    <t>2.1.8 Educación ambiental (3208)</t>
  </si>
  <si>
    <t>3.1 Minería Limpia Y Energía Sostenible Para El Desarrollo Sustentable (21)</t>
  </si>
  <si>
    <t>.1.1 Consolidación productiva del sector de energía eléctrica (2102)</t>
  </si>
  <si>
    <t>3.1.2 Consolidación productiva del sector minero social, justo y sostenible (2104)</t>
  </si>
  <si>
    <t>3.2 Movilidad Sostenible - Transporte y Seguridad Vial (24)</t>
  </si>
  <si>
    <t>3.2.1 Infraestructura red vial regional para el desarrollo (2402)</t>
  </si>
  <si>
    <t>3.2.2 Acciones de Seguridad en el transporte y la Movilidad (2409)</t>
  </si>
  <si>
    <t>3.3 Emprendimiento, Comercio y Turismo Sostenible para el Desarrollo Económico y Social (35)</t>
  </si>
  <si>
    <t>3.3.1 Productividad y competitividad desde el Turismo y la Agroindustria de las empresas frontineñas (3502)</t>
  </si>
  <si>
    <t>3.5 El Campo Es Primero, Agricultura Y Desarrollo Rural Para La Competitividad Y La Productividad (17)</t>
  </si>
  <si>
    <t>3.5.1 Inclusión productiva de pequeños productores rurales (1702)</t>
  </si>
  <si>
    <t>3.5.2 Ordenamiento social y uso productivo del territorio rural (1704)</t>
  </si>
  <si>
    <t>3.5.5 Infraestructura productiva y comercialización de productos agropecuarios frontineños (1709)</t>
  </si>
  <si>
    <t>4.2 Dignidad en lo Público, Gobierno Territorial para el cambio (45)</t>
  </si>
  <si>
    <t>4.2.2 Fortalecimiento del buen gobierno para el respeto y garantía de los derechos humanos (4502)</t>
  </si>
  <si>
    <t>4.2.3 Gestión del riesgo de desastres y emergencias (4503)</t>
  </si>
  <si>
    <t>4.2.4 Fortalecimiento a la gestión y dirección de la administración pública territorial (4599)</t>
  </si>
  <si>
    <t>4.3 Acceso Ciudadano a la Justicia y el Derecho (12)</t>
  </si>
  <si>
    <t>4.3.1 Promoción al acceso a la justicia (1202)</t>
  </si>
  <si>
    <t>4.3.2 Sistema penitenciario y carcelario en el marco de los derechos humanos (1206)</t>
  </si>
  <si>
    <t>Actividades - Acciones - Estrategias</t>
  </si>
  <si>
    <t>Dependencia Responsable</t>
  </si>
  <si>
    <t>Secretaría de Salud y Proteccion Social</t>
  </si>
  <si>
    <t>Secretaria de Educacion, Cultura y Desarrollo Comunitario</t>
  </si>
  <si>
    <t>Junta Municipal de Deportes</t>
  </si>
  <si>
    <t>Secretaría Gobierno y Servicios Administrativos</t>
  </si>
  <si>
    <t>Secretaria Agricultura y Medio Ambiente</t>
  </si>
  <si>
    <t>Secretaría de Planeación y Desarrollo Territorial</t>
  </si>
  <si>
    <t>Secretaria de Transito y Movilidad</t>
  </si>
  <si>
    <t xml:space="preserve">Recursos Propios </t>
  </si>
  <si>
    <t xml:space="preserve">SGP Alimentacion Escolar </t>
  </si>
  <si>
    <t xml:space="preserve">SGP APSB </t>
  </si>
  <si>
    <t xml:space="preserve">SGP Cultura </t>
  </si>
  <si>
    <t xml:space="preserve">SGP Deporte </t>
  </si>
  <si>
    <t xml:space="preserve">SGP Educacion </t>
  </si>
  <si>
    <t xml:space="preserve">SGP Libre Destinación </t>
  </si>
  <si>
    <t xml:space="preserve">SGP Libre Inversion </t>
  </si>
  <si>
    <t xml:space="preserve"> SGP Salud </t>
  </si>
  <si>
    <t xml:space="preserve"> Regalías </t>
  </si>
  <si>
    <t>Cofinanciación Departamento</t>
  </si>
  <si>
    <t>Cofinanciación Nacion</t>
  </si>
  <si>
    <t>Credito</t>
  </si>
  <si>
    <t>Otros</t>
  </si>
  <si>
    <t>TOTAL</t>
  </si>
  <si>
    <t>Indicador MGA</t>
  </si>
  <si>
    <t>Beneficiarios de la alimentación escolar</t>
  </si>
  <si>
    <t>Beneficiarios de transporte escolar</t>
  </si>
  <si>
    <t xml:space="preserve">Sedes educativas mejoradas </t>
  </si>
  <si>
    <t>Foros educativos territoriales realizados</t>
  </si>
  <si>
    <t>Personas capacitadas</t>
  </si>
  <si>
    <t>Usuarios atendidos</t>
  </si>
  <si>
    <t>Eventos de promoción de actividades culturales realizados</t>
  </si>
  <si>
    <t>Casas de la cultura adecuadas</t>
  </si>
  <si>
    <t>Documentos de planeación realizados</t>
  </si>
  <si>
    <t>Procesos de salvaguardia efectiva del patrimonio inmaterial realizados</t>
  </si>
  <si>
    <t>Adultos mayores atendidos con servicios integrales</t>
  </si>
  <si>
    <t>Personas con discapacidad atendidas con servicios integrales</t>
  </si>
  <si>
    <t>Vivienda de Interés Social mejoradas</t>
  </si>
  <si>
    <t>Acueductos optimizados</t>
  </si>
  <si>
    <t>Alcantarillados ampliados</t>
  </si>
  <si>
    <t>Usuarios beneficiados con subsidios al consumo</t>
  </si>
  <si>
    <t>Documentos de investigación realizados</t>
  </si>
  <si>
    <t>Árboles plantados</t>
  </si>
  <si>
    <t>Áreas protegidas</t>
  </si>
  <si>
    <t>Redes de alumbrado público mejoradas</t>
  </si>
  <si>
    <t>Personas capacitadas en seguridad minera</t>
  </si>
  <si>
    <t>Unidades productivas mineras beneficiarias de asistencia técnica para regularización</t>
  </si>
  <si>
    <t>Vía terciaria mejorada</t>
  </si>
  <si>
    <t>Puentes de la red terciaria con mantenimiento</t>
  </si>
  <si>
    <t xml:space="preserve">Caminos ancestrales con mantenimiento </t>
  </si>
  <si>
    <t xml:space="preserve">Puente construido en caminos ancestrales </t>
  </si>
  <si>
    <t xml:space="preserve">Vía terciaria con mantenimiento </t>
  </si>
  <si>
    <t xml:space="preserve">Vía urbana mejorada </t>
  </si>
  <si>
    <t>Pequeños productores rurales asistidos técnicamente</t>
  </si>
  <si>
    <t>Mapas de zonificación elaborados</t>
  </si>
  <si>
    <t>Cadenas productivas apoyadas</t>
  </si>
  <si>
    <t>Espacios de participación promovidos</t>
  </si>
  <si>
    <t>Salones comunales adecuados</t>
  </si>
  <si>
    <t>Personas afectadas por situaciones de emergencia, desastre o declaratorias de calamidad pública apoyadas</t>
  </si>
  <si>
    <t>Descripcion Indicador PDM</t>
  </si>
  <si>
    <t>Negocios verdes consolidados con asistencia técnica</t>
  </si>
  <si>
    <t>EN ARTICULACIÓN CON CORPOURABA Y MEDIANTE EL PROFESIONAL AMBIENTAL DE LA SECRETARIA DE AGRICULTURA Y MEDIO AMBIENTE SE VA A REALIZAR LA CARACTERIZACION Y ASISTENCIA TECNICA DE NEGOCIOS VERDES YA IDENTIFICADOS EN EL MUNICIPIO</t>
  </si>
  <si>
    <t>Inventario Municipal de Flora y Fauna Realizado</t>
  </si>
  <si>
    <t>PARA ESTE AÑO SE PROYECTARA REALIZAR UN CONVENIO CON ENTIDADES PUBLICAS Y PRIVADAS PARA LEVANTAR INVENTARIO DE FLORA Y FAUNA DE PREDIOS DE IMPORTANCIA AMBIENTAL</t>
  </si>
  <si>
    <t>PARA EL CUMPLIMIENTO DE LAS METAS DEL AÑO 2025 SE VAN A REFORESTAR DOS PREDIOS DEL MUNICIPIO DESTINADOS A LA CONSERVACIÓN DE FUENTES HIDRICAS</t>
  </si>
  <si>
    <t xml:space="preserve">Personas capacitadas hacia el 
conocimiento de la 
biodiversidad y los ecosistemas 
para sensibilizar a la población 
despertar la conciencia 
ambiental. </t>
  </si>
  <si>
    <t>PARA EL 2025 SE CUMPLIRA LA META MEDIANTE CONVENIOS CON ENTIDADES PUBLICAS Y PRIVADAS Y CAPACITACIONES A GRUPOS ORGANIZADOS</t>
  </si>
  <si>
    <t>SE CAPACITARA A LOS MINEROS DEL TITULO 3911 EN ARTICULACION CON SECRETARIA DE MINAS DE LA GOBERNACION DE ANTIOQUIA</t>
  </si>
  <si>
    <t>ESTA META SE CUMPLIRA MEDIANTE LA CONTRATACION DE PROFESIONALES Y TECNOLOGOS QUIENES ATENDIERON LOS PRINCIPALES SECTORES ECONOMICOS DEL MUNICIPIO: GANADERIA, CAÑA, CAFÉ, CACAO, HORTALIZAS, ENTRE OTROS</t>
  </si>
  <si>
    <t xml:space="preserve">Organizaciones de productores 
formales apoyadas la 
adquisición de competencias 
comerciales y en casos 
requeridos, la inserción o 
consolidación en 
encadenamientos comerciales. </t>
  </si>
  <si>
    <t>ESTA ACTIVIDAD SE REALIZARA EN ARTICULACION CON ENTIDADES PUBLICAS, PRIVADAS Y CONVENIOS INTERADMINISTRATIVOS</t>
  </si>
  <si>
    <t>ESTA ACTIVIDAD SE CUMPLIRA MEDIANTE LA CONTRATACION DE PROFESIONALES QUE BRINDEN ASISTENCIA TECNICA AGROPECUARIA</t>
  </si>
  <si>
    <t xml:space="preserve">Victimas caracterizadas para su posterior atencion, asistencia y reparacion integral </t>
  </si>
  <si>
    <t>1. Articulacion interinstitucional con la UARIV y la gobernacion de antioquia para caracterizar victimas
2. Talento Humano Enlace de Victimas</t>
  </si>
  <si>
    <t>Personas con asistencia humanitaria a las victimas del conflicto armado</t>
  </si>
  <si>
    <t>1. Actividad por Ocurrencia de Evento - Demanda</t>
  </si>
  <si>
    <t>Niños y niñas atendidos en servicios integrales</t>
  </si>
  <si>
    <t>Garantizar la contratacion del equipo interdisciplinario de la comisaria de familia y garantizar la continuidad en la contratacion del hogar de paso</t>
  </si>
  <si>
    <t>Garantizar la contratacion del equipo interdisciplinario de la comisaria de familia , garantizar la continuidad en la contratacion del hogar de paso y articulacion con el SNBF para la garantia de derechos de NNA</t>
  </si>
  <si>
    <t>Familias atendidas en la promoción de temas de dinámica relacional y desarrollo autónomo</t>
  </si>
  <si>
    <t>Garantizar el equipo interdisciplinario completo de la comisaria de familia, realizar charlas sobre convivencia familiar articulado con las instituciones educativas</t>
  </si>
  <si>
    <t>Contratar el mantenimiento</t>
  </si>
  <si>
    <t>Sedes administrativas adecuadas</t>
  </si>
  <si>
    <t>Contratar la adecuacion</t>
  </si>
  <si>
    <t>Sedes administrativas mantenidad</t>
  </si>
  <si>
    <t>Iniciativas viabilizadas apoyadas a las comunidades etnicas, al programa nacional de casa de justicia y las iniciativas, estretegias y poryectos en materia de acceso a la justicia</t>
  </si>
  <si>
    <t>Espacios de articulacion generados</t>
  </si>
  <si>
    <t>Personas privadas de la libertad (PPL) con servicio de alimentacion</t>
  </si>
  <si>
    <t>Grantizar la continuidad del suministro de alimentacion a PPL</t>
  </si>
  <si>
    <t>Personas beneficiarias de procesos de informacion para el trabajo y desarrollo humano</t>
  </si>
  <si>
    <t xml:space="preserve">Garantizar la socializacion de derechos humanos a los PPL </t>
  </si>
  <si>
    <t>Ocurrencia Por Evento Emergencias o Desastres</t>
  </si>
  <si>
    <t>1. Construcción de Obras de Mitigación</t>
  </si>
  <si>
    <t>1. Desarrollo de Mejoramientos de Vivienda - Cofinanciación Entidades</t>
  </si>
  <si>
    <t>1. Construccion de Viviendas - Obra Publica</t>
  </si>
  <si>
    <t>1. Obra Publica - Optimizacion de Acueductos</t>
  </si>
  <si>
    <t>1. Obra Publica - Ampliacion de Alcantarillados</t>
  </si>
  <si>
    <t>1. Transferencia de Subsidios para Beneficiarios APSB</t>
  </si>
  <si>
    <t>1. Ampliación cobertura cambio de tecnologia alumbrado publico - convenio EPM</t>
  </si>
  <si>
    <t>1. Obra Publica - Construcción de Placa Huella</t>
  </si>
  <si>
    <t>1. Obra Publica - Mantenimiento de Puente</t>
  </si>
  <si>
    <t>1. Obra Publica - Mantenimiento caminos Ancestrales</t>
  </si>
  <si>
    <t>1. Obra Publica - Construcción de Puente en caminos Ancestrales</t>
  </si>
  <si>
    <t>1. Obra Publica Mantenimiento Preventivo de Red Terciaria</t>
  </si>
  <si>
    <t>1. Mejoramiento de Red Vial Urbana</t>
  </si>
  <si>
    <t xml:space="preserve">Realizar la gestión de recursos y convenio con la Gobernación de Antioquia para garantizar el programa de alimentación escolar a los niños, niñas y jovenes del Municipio de Frontino. </t>
  </si>
  <si>
    <t xml:space="preserve">Realizar la gestión de recursos para garantizar el transporte escolar y la contratación para la prestación del servicio de transporte de los niños, niñas y jovenes desde el área rural hacia las sedes de las instituciones educativas de la zona urbana y de los centros poblados. </t>
  </si>
  <si>
    <t xml:space="preserve">Realizar la gestión de proyectos de adecuación y mejoramiento de la infraestructura de las sedes educativas, con la realización previa del diagnostico y ejecución del proyecto que podrá incluir la entrega de materiales a la Institución Educativa o la contratación de la adecuación </t>
  </si>
  <si>
    <t>Acercamiento con los rectores para definir la programación y realizar la gestión y contratación del recurso humano y logistico requerido para la realización de los foros educativos</t>
  </si>
  <si>
    <t>contratación del talento humano en danza, música, artes visuales, literatura y bliblioteca, extensión cultural en el corregimiento de Nutibara.</t>
  </si>
  <si>
    <t>Servicios Bilbliotecarios</t>
  </si>
  <si>
    <t>1. Cultura al Barrio - Agenda Cultural - Diagnostico
2. Noche de Talentos
3. Mes de la Mujer - 8 de Marzo
4. Semana Santa - Articulación - Domingo 13 al 20 de Abril
5. Mes de la Niñez - Abril
7. Dia del Idioma 23 de Abril
8. Dia del Maestro 15 de Abril
9. Mes de las Madres Mayo
10. Vaca Loca - 15 de Julio
11. Dia del Café - 29 de Junio
12. Encuentro de Poetas Agosto
13. Celebra la Musica Noviembre
14. Independencia 20 de Julio
10. Dia de la Antioqueñidad 11 de Agosto
11. Frontineñidad 12 de Septiembre
12. Festival de las Musicas y las Danzas
13. Festival de Bailadores
14. Fiestas del Cacique
15. Festival de la Trova
16. 100 Años Llegada de los Carmelitas
17. Afrocolombianidad - Altos de Murri
18. Pueblos Indigenas
19. Frontino al Parque Viviendo la Musica
20. Fiestas del Campesino</t>
  </si>
  <si>
    <t>1. Gestion de Recursos Para Mantinimiento Casa de la Cultura de Nutibara</t>
  </si>
  <si>
    <t>1. Recursos Instituto de Cultura</t>
  </si>
  <si>
    <t>1. Capacitación de agentes y operadores turisticos</t>
  </si>
  <si>
    <t>1. Talento Humano para la coordinación del Proceso de Inclusión Social y Desarrollo Comunitario.
2. Talento Humano Inclusion Social</t>
  </si>
  <si>
    <t>1. Adecuación de Salones o Casetas Comunales</t>
  </si>
  <si>
    <t>Parques recreativos
mantenidos</t>
  </si>
  <si>
    <t xml:space="preserve">1. Programación de aseo periodico a parques recreativo. 
2. Realización de mantenimiento preventivo de la infraestructura recreativa.  </t>
  </si>
  <si>
    <t>Personas que acceden a
servicios deportivos, recreativos
y de actividad física</t>
  </si>
  <si>
    <t xml:space="preserve">Personas que acceden a servicios deportivos, recreativos y de actividad física en el área rural y urbana del municipio de Frontino
(JAC, I.E, actvidades comunitarios, apoyos otras entidades, caminadas iglesia)  </t>
  </si>
  <si>
    <t xml:space="preserve">1. Apoyo con programación deportiva, recreativa y de actividad fisica en las jornadas descentralizadas de la administración municipal. 
2. Mantenimiento y aseo de los escenarios recreo deportivos, gimnasio al aire libre, para la practica libre y dirigida con la comunidad. 
3. Participacion y articulacion con diferentes entidades e instituciones publicas y privadas para la realización de actividades y eventos. </t>
  </si>
  <si>
    <t>SE CUMPLIRA LA META EN ARTICULACION CON ENTIDADES PUBLICAS Y PRIVADAS - Capacidad Instalada SAMA</t>
  </si>
  <si>
    <t>1. Talento Humano para la Coordinación y articulación de oferta institucional y propia</t>
  </si>
  <si>
    <t xml:space="preserve">1. Obra Publica - Proyecto para la Adecuación de Centro Dia </t>
  </si>
  <si>
    <t>1. Talento Humano para la atencion a Personas con Discapacidad en servicios integrales - Articulacion Secretaria de Salud y Educación</t>
  </si>
  <si>
    <t>Producto MGA</t>
  </si>
  <si>
    <t>2201028</t>
  </si>
  <si>
    <t>2201029</t>
  </si>
  <si>
    <t>2201052</t>
  </si>
  <si>
    <t>2201049</t>
  </si>
  <si>
    <t>3301051</t>
  </si>
  <si>
    <t>3301085</t>
  </si>
  <si>
    <t>3301053</t>
  </si>
  <si>
    <t>3301018</t>
  </si>
  <si>
    <t>3301129</t>
  </si>
  <si>
    <t>3302049</t>
  </si>
  <si>
    <t>4301037</t>
  </si>
  <si>
    <t>4101014</t>
  </si>
  <si>
    <t>4101025</t>
  </si>
  <si>
    <t>4102001</t>
  </si>
  <si>
    <t>4102038</t>
  </si>
  <si>
    <t>4102042</t>
  </si>
  <si>
    <t>4102043</t>
  </si>
  <si>
    <t>4104008</t>
  </si>
  <si>
    <t>4104012</t>
  </si>
  <si>
    <t>4104020</t>
  </si>
  <si>
    <t>4001044</t>
  </si>
  <si>
    <t>4003017</t>
  </si>
  <si>
    <t>4003019</t>
  </si>
  <si>
    <t>4003047</t>
  </si>
  <si>
    <t>3201003</t>
  </si>
  <si>
    <t>3202004</t>
  </si>
  <si>
    <t>3202041</t>
  </si>
  <si>
    <t>3203050</t>
  </si>
  <si>
    <t>3208010</t>
  </si>
  <si>
    <t>2102013</t>
  </si>
  <si>
    <t>2104010</t>
  </si>
  <si>
    <t>2104018</t>
  </si>
  <si>
    <t>2402042</t>
  </si>
  <si>
    <t>2402048</t>
  </si>
  <si>
    <t>2402056</t>
  </si>
  <si>
    <t>2402057</t>
  </si>
  <si>
    <t>2402112</t>
  </si>
  <si>
    <t>2402114</t>
  </si>
  <si>
    <t>3502045</t>
  </si>
  <si>
    <t>1702010</t>
  </si>
  <si>
    <t>1702038</t>
  </si>
  <si>
    <t>1704001</t>
  </si>
  <si>
    <t>1709105</t>
  </si>
  <si>
    <t>4502001</t>
  </si>
  <si>
    <t>4502003</t>
  </si>
  <si>
    <t>4503022</t>
  </si>
  <si>
    <t>4503028</t>
  </si>
  <si>
    <t>4599011</t>
  </si>
  <si>
    <t>4599016</t>
  </si>
  <si>
    <t>1202018</t>
  </si>
  <si>
    <t>1206007</t>
  </si>
  <si>
    <t>1206014</t>
  </si>
  <si>
    <t>Sedes mantenidas (Servicios Publicos)</t>
  </si>
  <si>
    <t>Realizar en articulación con las Instituciones Educativas los mantenimientos preventivos de las sedes educativas con la entrega de materiales, acompañamiento del equipo de planeación y la participación de la comunidad. - Pago de Servicios Publicos</t>
  </si>
  <si>
    <t>1. Procesos Investigacion Patrimonio cofinanciación</t>
  </si>
  <si>
    <t>3302075</t>
  </si>
  <si>
    <t>Servicio de Archivos Patrimoniales</t>
  </si>
  <si>
    <t>1. Archivos Patrimoniales - Publicaciones</t>
  </si>
  <si>
    <t>Gimnasios al Aire libre construidos</t>
  </si>
  <si>
    <t>1. Construcción de Gimnasios al Aire libre</t>
  </si>
  <si>
    <t>Garantizar Funcionamiemto Inspección Municipal y Acompañamiento Integral a Comunidades</t>
  </si>
  <si>
    <t>1206005</t>
  </si>
  <si>
    <t>Convenio INPEC</t>
  </si>
  <si>
    <t xml:space="preserve">Formulación de plan de Desarrollo Agropecuario y Rural </t>
  </si>
  <si>
    <t>TALENTO HUMANO PARA EL DESARROLLO DE LA FORMULACION</t>
  </si>
  <si>
    <t>Vías con dispositivos de control y señalización</t>
  </si>
  <si>
    <t>Vías con dispositivos de control y señalización instalados</t>
  </si>
  <si>
    <t>1. Incluye la señalización sonora, táctil, visual o mixta, así como la implementación de dispositivos de control para la seguridad vial.</t>
  </si>
  <si>
    <t xml:space="preserve">Establecimiento de Areas - Estudios </t>
  </si>
  <si>
    <t>Vivienda de Interés Prioritario construidas</t>
  </si>
  <si>
    <t>Construcción de viviendas de Interés Prioritario</t>
  </si>
  <si>
    <t>Acueductos ampliados</t>
  </si>
  <si>
    <t>4003016</t>
  </si>
  <si>
    <t>Conjunto de acciones y obras requeridas para aumentar la capacidad del acueducto en una misma área de cobertura.</t>
  </si>
  <si>
    <t>Alcantarillados optimizados</t>
  </si>
  <si>
    <t>Conjunto de acciones encaminadas a mejorar la capacidad, eficiencia y eficacia de la infraestructura componente del sistema de alcantarillado mediante su intervención parcial o total.</t>
  </si>
  <si>
    <t>1. Obra Publica - Optimizacion de Alcantarillados</t>
  </si>
  <si>
    <t>Servicios de apoyo financiero para la ejecución de proyectos de acueductos y alcantarillado</t>
  </si>
  <si>
    <t>Proyectos de acueducto y alcantarillado en área urbana financiados</t>
  </si>
  <si>
    <t>Prestación de servicios de asistencia profesional y técnica para fortalecer la gestión administrativa y operativa de la Alcaldía del Municipio de  Frontino</t>
  </si>
  <si>
    <t>Servicio de asistencia técnica</t>
  </si>
  <si>
    <t>Entidades, organismos y dependencias asistidos técnicamente</t>
  </si>
  <si>
    <t>Meta 2026</t>
  </si>
  <si>
    <t>CONVENIO Y ENTIDADES PUBLICAS Y PRIVADAS</t>
  </si>
  <si>
    <t>Vivienda de Interés Social construidas</t>
  </si>
  <si>
    <t>Construcción de viviendas de Interés Social en el área urbana y rural</t>
  </si>
  <si>
    <t>1. Construccion  de Vivienda de Interes Social - Cofinanciación Entidades</t>
  </si>
  <si>
    <t>1.5.3 Inclusión social y productiva para la población en situación de vulnerabilidad: Población Desplazada, Pobreza y Pobreza Extrema (4103)</t>
  </si>
  <si>
    <t>Centros comunitarios dotados</t>
  </si>
  <si>
    <t xml:space="preserve">Dotación de centro comunitario para el fortalecimiento social, cultural y formativo de la población afrodescendiente del corregimiento de Murrí, municipio de  Frontino </t>
  </si>
  <si>
    <t>Vivienda de Interes Prioritario mejoradas</t>
  </si>
  <si>
    <t>Mejoramiento de viviendas de interés prioritario en el área urbana y rural</t>
  </si>
  <si>
    <t>1. Construccion  de Vivienda de Interes Prioritario- Cofinanciación Entidades</t>
  </si>
  <si>
    <t>Infraestructuras culturales dotadas</t>
  </si>
  <si>
    <t>Infraestructuras culturales dotadas en el área urbana y rural</t>
  </si>
  <si>
    <t>Dotación Musica y Danza Centro Cultural GWDV</t>
  </si>
  <si>
    <t>Canchas multifuncionales mantenidas</t>
  </si>
  <si>
    <t>Adecuación de canchas deportivas para el fortalecimiento de la actividad física y la convivencia en el municipio de Frontino</t>
  </si>
  <si>
    <t>Edificaciones de atencion a la primera infancia dotadas</t>
  </si>
  <si>
    <t>Dotación de espacios para la primera infancia</t>
  </si>
  <si>
    <t>Dotación de edificaciones para la prestación del servicio de atención integral a la primera infancia en el municipio de Frontino</t>
  </si>
  <si>
    <t>Estrategias de promoción de la garantía de derechos orientadas a promover los mecanismos de atención, protección y ejercicio de derechos de las mujeres, población LGTBI y comunidades en riesgo, asi como la prevencion de su vulneracion</t>
  </si>
  <si>
    <t>Implementación de estrategias de promoción de la garantía de derechos orientadas a promover los mecanismos de atención, protección y ejercicio de derechos de las mujeres, población LGTBI y comunidades en riesgo del municipio</t>
  </si>
  <si>
    <t>Implementación de la Política Pública de Mujer y Equidad de Género para la promoción y garantía de derechos en el municipio de Frontino</t>
  </si>
  <si>
    <t>Cuerpos de bomberos disponibles para la prevención y control de incendios en la entidad territorial</t>
  </si>
  <si>
    <t>Fortalecimiento del servicio de prevención y control de incendios para la gestión integral del riesgo en el municipio de Frontino</t>
  </si>
  <si>
    <t>PLAN OPERATIVO ANUAL DE INVERSIONES (POAI) - PLAN DE ACCION (PA) 2026 -SECTORES - ACTUALIZACIÓN MAYO 31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</si>
</sst>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7" x14ac:knownFonts="1">
    <font>
      <sz val="11"/>
      <name val="Calibri"/>
      <family val="2"/>
    </font>
    <font>
      <sz val="11"/>
      <name val="Calibri"/>
      <family val="2"/>
    </font>
    <font>
      <b/>
      <sz val="18"/>
      <name val="Calibri"/>
      <family val="2"/>
    </font>
    <font>
      <b/>
      <sz val="11"/>
      <color theme="1"/>
      <name val="Calibri"/>
      <family val="2"/>
    </font>
    <font>
      <b/>
      <sz val="11"/>
      <name val="Calibri"/>
      <family val="2"/>
    </font>
    <font>
      <sz val="11"/>
      <color theme="1"/>
      <name val="Calibri"/>
      <family val="2"/>
    </font>
    <font>
      <sz val="8"/>
      <name val="Calibri"/>
      <family val="2"/>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1" fillId="0" borderId="0"/>
  </cellStyleXfs>
  <cellXfs count="27">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1" fontId="3" fillId="0" borderId="0" xfId="0" applyNumberFormat="1" applyFont="1" applyAlignment="1">
      <alignment horizontal="center" vertical="center" wrapText="1"/>
    </xf>
    <xf numFmtId="0" fontId="4" fillId="0" borderId="0" xfId="0" applyFont="1" applyAlignment="1">
      <alignment vertical="center" wrapText="1"/>
    </xf>
    <xf numFmtId="1" fontId="4" fillId="0" borderId="0" xfId="1" applyNumberFormat="1" applyFont="1" applyAlignment="1">
      <alignment horizontal="center" vertical="center" wrapText="1"/>
    </xf>
    <xf numFmtId="164" fontId="0" fillId="0" borderId="0" xfId="1" applyNumberFormat="1" applyFont="1" applyFill="1" applyAlignment="1">
      <alignment vertical="center" wrapText="1"/>
    </xf>
    <xf numFmtId="1" fontId="0" fillId="0" borderId="0" xfId="0" applyNumberFormat="1"/>
    <xf numFmtId="164" fontId="3" fillId="0" borderId="0" xfId="1" applyNumberFormat="1" applyFont="1" applyFill="1" applyAlignment="1">
      <alignment horizontal="center" vertical="center" wrapText="1"/>
    </xf>
    <xf numFmtId="164" fontId="0" fillId="0" borderId="0" xfId="1" applyNumberFormat="1" applyFont="1" applyFill="1" applyAlignment="1">
      <alignment horizontal="center"/>
    </xf>
    <xf numFmtId="0" fontId="4" fillId="0" borderId="0" xfId="0" applyFont="1" applyAlignment="1">
      <alignment horizontal="center" vertical="center" wrapText="1"/>
    </xf>
    <xf numFmtId="1" fontId="4" fillId="0" borderId="0" xfId="0" applyNumberFormat="1" applyFont="1" applyAlignment="1">
      <alignment horizontal="center" vertical="center" wrapText="1"/>
    </xf>
    <xf numFmtId="1" fontId="0" fillId="0" borderId="0" xfId="0" applyNumberFormat="1" applyAlignment="1">
      <alignment wrapText="1"/>
    </xf>
    <xf numFmtId="0" fontId="0" fillId="0" borderId="0" xfId="0" applyAlignment="1">
      <alignment horizontal="center"/>
    </xf>
    <xf numFmtId="1" fontId="0" fillId="0" borderId="0" xfId="0" applyNumberFormat="1" applyAlignment="1">
      <alignment vertical="center"/>
    </xf>
    <xf numFmtId="1" fontId="0" fillId="0" borderId="0" xfId="0" applyNumberFormat="1" applyAlignment="1">
      <alignment vertical="center" wrapText="1"/>
    </xf>
    <xf numFmtId="164" fontId="0" fillId="0" borderId="0" xfId="0" applyNumberFormat="1"/>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1" fontId="0" fillId="0" borderId="0" xfId="0" applyNumberFormat="1" applyAlignment="1">
      <alignment horizontal="center" vertical="center" wrapText="1"/>
    </xf>
    <xf numFmtId="1" fontId="0" fillId="0" borderId="0" xfId="0" applyNumberFormat="1" applyAlignment="1">
      <alignment horizontal="left" vertical="center" wrapText="1"/>
    </xf>
    <xf numFmtId="0" fontId="5" fillId="0" borderId="0" xfId="0" applyFont="1" applyAlignment="1">
      <alignment vertical="center" wrapText="1"/>
    </xf>
    <xf numFmtId="0" fontId="5" fillId="0" borderId="0" xfId="0" applyFont="1" applyAlignment="1">
      <alignment horizontal="center" vertical="center" wrapText="1"/>
    </xf>
    <xf numFmtId="1" fontId="5" fillId="0" borderId="0" xfId="0" applyNumberFormat="1" applyFont="1" applyAlignment="1">
      <alignment vertical="center" wrapText="1"/>
    </xf>
    <xf numFmtId="164" fontId="0" fillId="0" borderId="0" xfId="0" applyNumberFormat="1" applyAlignment="1">
      <alignment vertical="center" wrapText="1"/>
    </xf>
    <xf numFmtId="0" fontId="2" fillId="2" borderId="0" xfId="0" applyFont="1" applyFill="1" applyAlignment="1">
      <alignment horizontal="center" vertical="center" wrapText="1"/>
    </xf>
  </cellXfs>
  <cellStyles count="3">
    <cellStyle name="Moneda" xfId="1" builtinId="4"/>
    <cellStyle name="Normal" xfId="0" builtinId="0"/>
    <cellStyle name="Normal 2" xfId="2" xr:uid="{6B87ED85-F7CE-4F27-8637-EC2197DF20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22EBA-140E-41B7-9EBD-C6F7A6B38C5F}">
  <dimension ref="A1:AB77"/>
  <sheetViews>
    <sheetView tabSelected="1" zoomScale="70" zoomScaleNormal="70" workbookViewId="0">
      <selection activeCell="A2" sqref="A2"/>
    </sheetView>
  </sheetViews>
  <sheetFormatPr baseColWidth="10" defaultColWidth="8.7109375" defaultRowHeight="15" x14ac:dyDescent="0.25"/>
  <cols>
    <col min="2" max="2" width="38.5703125" customWidth="1"/>
    <col min="3" max="3" width="12.7109375" style="13" customWidth="1"/>
    <col min="4" max="4" width="39.28515625" customWidth="1"/>
    <col min="5" max="5" width="30.28515625" customWidth="1"/>
    <col min="6" max="6" width="22.28515625" style="13" customWidth="1"/>
    <col min="7" max="7" width="45.28515625" style="13" customWidth="1"/>
    <col min="8" max="8" width="69.28515625" style="17" customWidth="1"/>
    <col min="9" max="10" width="14.28515625" customWidth="1"/>
    <col min="11" max="11" width="21.5703125" style="7" customWidth="1"/>
    <col min="12" max="12" width="36.28515625" style="12" customWidth="1"/>
    <col min="13" max="13" width="63.28515625" customWidth="1"/>
    <col min="14" max="17" width="22.42578125" style="9" customWidth="1"/>
    <col min="18" max="28" width="22.42578125" customWidth="1"/>
  </cols>
  <sheetData>
    <row r="1" spans="1:28" s="26" customFormat="1" ht="43.9" customHeight="1" x14ac:dyDescent="0.25">
      <c r="A1" s="26" t="s">
        <v>336</v>
      </c>
    </row>
    <row r="2" spans="1:28" s="4" customFormat="1" ht="30" x14ac:dyDescent="0.25">
      <c r="A2" s="4" t="s">
        <v>66</v>
      </c>
      <c r="B2" s="4" t="s">
        <v>71</v>
      </c>
      <c r="C2" s="10" t="s">
        <v>65</v>
      </c>
      <c r="D2" s="4" t="s">
        <v>64</v>
      </c>
      <c r="E2" s="4" t="s">
        <v>229</v>
      </c>
      <c r="F2" s="11" t="s">
        <v>0</v>
      </c>
      <c r="G2" s="11" t="s">
        <v>127</v>
      </c>
      <c r="H2" s="1" t="s">
        <v>162</v>
      </c>
      <c r="I2" s="2" t="s">
        <v>1</v>
      </c>
      <c r="J2" s="2" t="s">
        <v>312</v>
      </c>
      <c r="K2" s="3" t="s">
        <v>2</v>
      </c>
      <c r="L2" s="3" t="s">
        <v>104</v>
      </c>
      <c r="M2" s="4" t="s">
        <v>103</v>
      </c>
      <c r="N2" s="5" t="s">
        <v>112</v>
      </c>
      <c r="O2" s="5" t="s">
        <v>113</v>
      </c>
      <c r="P2" s="5" t="s">
        <v>114</v>
      </c>
      <c r="Q2" s="5" t="s">
        <v>115</v>
      </c>
      <c r="R2" s="4" t="s">
        <v>116</v>
      </c>
      <c r="S2" s="4" t="s">
        <v>117</v>
      </c>
      <c r="T2" s="4" t="s">
        <v>118</v>
      </c>
      <c r="U2" s="4" t="s">
        <v>119</v>
      </c>
      <c r="V2" s="4" t="s">
        <v>120</v>
      </c>
      <c r="W2" s="4" t="s">
        <v>121</v>
      </c>
      <c r="X2" s="4" t="s">
        <v>122</v>
      </c>
      <c r="Y2" s="4" t="s">
        <v>123</v>
      </c>
      <c r="Z2" s="4" t="s">
        <v>124</v>
      </c>
      <c r="AA2" s="4" t="s">
        <v>125</v>
      </c>
      <c r="AB2" s="4" t="s">
        <v>126</v>
      </c>
    </row>
    <row r="3" spans="1:28" s="18" customFormat="1" ht="45" x14ac:dyDescent="0.25">
      <c r="A3" s="18" t="s">
        <v>67</v>
      </c>
      <c r="B3" s="18" t="s">
        <v>3</v>
      </c>
      <c r="C3" s="19">
        <v>2201</v>
      </c>
      <c r="D3" s="18" t="s">
        <v>4</v>
      </c>
      <c r="E3" s="19" t="s">
        <v>230</v>
      </c>
      <c r="F3" s="20">
        <v>220102801</v>
      </c>
      <c r="G3" s="21" t="s">
        <v>128</v>
      </c>
      <c r="H3" s="22" t="s">
        <v>5</v>
      </c>
      <c r="I3" s="23">
        <v>14000</v>
      </c>
      <c r="J3" s="23">
        <v>3500</v>
      </c>
      <c r="K3" s="24">
        <v>202500000047555</v>
      </c>
      <c r="L3" s="24" t="s">
        <v>106</v>
      </c>
      <c r="M3" s="18" t="s">
        <v>208</v>
      </c>
      <c r="N3" s="6">
        <v>2263376434</v>
      </c>
      <c r="O3" s="6">
        <v>572430402.19000006</v>
      </c>
      <c r="P3" s="6">
        <v>0</v>
      </c>
      <c r="Q3" s="6">
        <v>0</v>
      </c>
      <c r="R3" s="6">
        <v>0</v>
      </c>
      <c r="S3" s="6">
        <v>0</v>
      </c>
      <c r="T3" s="6">
        <v>0</v>
      </c>
      <c r="U3" s="6">
        <v>0</v>
      </c>
      <c r="V3" s="6">
        <v>0</v>
      </c>
      <c r="W3" s="6">
        <v>0</v>
      </c>
      <c r="X3" s="6">
        <v>35824826</v>
      </c>
      <c r="Y3" s="6">
        <v>0</v>
      </c>
      <c r="Z3" s="6">
        <v>0</v>
      </c>
      <c r="AA3" s="6">
        <v>0</v>
      </c>
      <c r="AB3" s="25">
        <f t="shared" ref="AB3:AB15" si="0">SUM(N3:AA3)</f>
        <v>2871631662.1900001</v>
      </c>
    </row>
    <row r="4" spans="1:28" s="18" customFormat="1" ht="60" x14ac:dyDescent="0.25">
      <c r="A4" s="18" t="s">
        <v>67</v>
      </c>
      <c r="B4" s="18" t="s">
        <v>3</v>
      </c>
      <c r="C4" s="19">
        <v>2201</v>
      </c>
      <c r="D4" s="18" t="s">
        <v>4</v>
      </c>
      <c r="E4" s="19" t="s">
        <v>231</v>
      </c>
      <c r="F4" s="20">
        <v>220102900</v>
      </c>
      <c r="G4" s="21" t="s">
        <v>129</v>
      </c>
      <c r="H4" s="22" t="s">
        <v>6</v>
      </c>
      <c r="I4" s="23">
        <v>1200</v>
      </c>
      <c r="J4" s="23">
        <v>300</v>
      </c>
      <c r="K4" s="24">
        <v>202500000047571</v>
      </c>
      <c r="L4" s="24" t="s">
        <v>106</v>
      </c>
      <c r="M4" s="18" t="s">
        <v>209</v>
      </c>
      <c r="N4" s="6">
        <v>290804147.39999998</v>
      </c>
      <c r="O4" s="6">
        <v>0</v>
      </c>
      <c r="P4" s="6">
        <v>0</v>
      </c>
      <c r="Q4" s="6">
        <v>0</v>
      </c>
      <c r="R4" s="6">
        <v>0</v>
      </c>
      <c r="S4" s="6">
        <v>453582048</v>
      </c>
      <c r="T4" s="6">
        <v>131561894</v>
      </c>
      <c r="U4" s="6">
        <v>0</v>
      </c>
      <c r="V4" s="6">
        <v>0</v>
      </c>
      <c r="W4" s="6">
        <v>0</v>
      </c>
      <c r="X4" s="6">
        <v>0</v>
      </c>
      <c r="Y4" s="6">
        <v>0</v>
      </c>
      <c r="Z4" s="6">
        <v>0</v>
      </c>
      <c r="AA4" s="6">
        <v>0</v>
      </c>
      <c r="AB4" s="25">
        <f t="shared" si="0"/>
        <v>875948089.39999998</v>
      </c>
    </row>
    <row r="5" spans="1:28" s="18" customFormat="1" ht="75" x14ac:dyDescent="0.25">
      <c r="A5" s="18" t="s">
        <v>67</v>
      </c>
      <c r="B5" s="18" t="s">
        <v>3</v>
      </c>
      <c r="C5" s="19">
        <v>2201</v>
      </c>
      <c r="D5" s="18" t="s">
        <v>4</v>
      </c>
      <c r="E5" s="19" t="s">
        <v>232</v>
      </c>
      <c r="F5" s="20">
        <v>220105200</v>
      </c>
      <c r="G5" s="21" t="s">
        <v>130</v>
      </c>
      <c r="H5" s="22" t="s">
        <v>7</v>
      </c>
      <c r="I5" s="23">
        <v>30</v>
      </c>
      <c r="J5" s="23">
        <v>10</v>
      </c>
      <c r="K5" s="24">
        <v>202500000047538</v>
      </c>
      <c r="L5" s="24" t="s">
        <v>106</v>
      </c>
      <c r="M5" s="18" t="s">
        <v>210</v>
      </c>
      <c r="N5" s="6">
        <v>371927618.87</v>
      </c>
      <c r="O5" s="6">
        <v>0</v>
      </c>
      <c r="P5" s="6">
        <v>0</v>
      </c>
      <c r="Q5" s="6">
        <v>0</v>
      </c>
      <c r="R5" s="6">
        <v>0</v>
      </c>
      <c r="S5" s="6">
        <v>113095100</v>
      </c>
      <c r="T5" s="6">
        <v>157871036</v>
      </c>
      <c r="U5" s="6">
        <v>0</v>
      </c>
      <c r="V5" s="6">
        <v>0</v>
      </c>
      <c r="W5" s="6">
        <v>0</v>
      </c>
      <c r="X5" s="6">
        <v>3107026307</v>
      </c>
      <c r="Y5" s="6">
        <v>0</v>
      </c>
      <c r="Z5" s="6">
        <v>0</v>
      </c>
      <c r="AA5" s="6">
        <v>0</v>
      </c>
      <c r="AB5" s="25">
        <f>SUM(N5:AA5)</f>
        <v>3749920061.8699999</v>
      </c>
    </row>
    <row r="6" spans="1:28" s="18" customFormat="1" ht="60" x14ac:dyDescent="0.25">
      <c r="A6" s="18" t="s">
        <v>67</v>
      </c>
      <c r="B6" s="18" t="s">
        <v>3</v>
      </c>
      <c r="C6" s="19">
        <v>2201</v>
      </c>
      <c r="D6" s="18" t="s">
        <v>4</v>
      </c>
      <c r="E6" s="19">
        <v>2201071</v>
      </c>
      <c r="F6" s="20">
        <v>220106200</v>
      </c>
      <c r="G6" s="21" t="s">
        <v>282</v>
      </c>
      <c r="H6" s="22" t="s">
        <v>8</v>
      </c>
      <c r="I6" s="23">
        <v>30</v>
      </c>
      <c r="J6" s="23">
        <v>12</v>
      </c>
      <c r="K6" s="24">
        <v>202500000047541</v>
      </c>
      <c r="L6" s="24" t="s">
        <v>106</v>
      </c>
      <c r="M6" s="18" t="s">
        <v>283</v>
      </c>
      <c r="N6" s="6">
        <v>10000000</v>
      </c>
      <c r="O6" s="6">
        <v>0</v>
      </c>
      <c r="P6" s="6">
        <v>0</v>
      </c>
      <c r="Q6" s="6">
        <v>0</v>
      </c>
      <c r="R6" s="6">
        <v>0</v>
      </c>
      <c r="S6" s="6">
        <v>716558122.88</v>
      </c>
      <c r="T6" s="6">
        <v>0</v>
      </c>
      <c r="U6" s="6">
        <v>0</v>
      </c>
      <c r="V6" s="6">
        <v>0</v>
      </c>
      <c r="W6" s="6">
        <v>0</v>
      </c>
      <c r="X6" s="6">
        <v>0</v>
      </c>
      <c r="Y6" s="6">
        <v>0</v>
      </c>
      <c r="Z6" s="6">
        <v>0</v>
      </c>
      <c r="AA6" s="6">
        <v>0</v>
      </c>
      <c r="AB6" s="25">
        <f t="shared" si="0"/>
        <v>726558122.88</v>
      </c>
    </row>
    <row r="7" spans="1:28" s="18" customFormat="1" ht="45" x14ac:dyDescent="0.25">
      <c r="A7" s="18" t="s">
        <v>67</v>
      </c>
      <c r="B7" s="18" t="s">
        <v>3</v>
      </c>
      <c r="C7" s="19">
        <v>2201</v>
      </c>
      <c r="D7" s="18" t="s">
        <v>4</v>
      </c>
      <c r="E7" s="19" t="s">
        <v>233</v>
      </c>
      <c r="F7" s="20">
        <v>220104902</v>
      </c>
      <c r="G7" s="21" t="s">
        <v>131</v>
      </c>
      <c r="H7" s="22" t="s">
        <v>9</v>
      </c>
      <c r="I7" s="23">
        <v>5</v>
      </c>
      <c r="J7" s="23">
        <v>2</v>
      </c>
      <c r="K7" s="24">
        <v>202500000047582</v>
      </c>
      <c r="L7" s="24" t="s">
        <v>106</v>
      </c>
      <c r="M7" s="18" t="s">
        <v>211</v>
      </c>
      <c r="N7" s="6">
        <v>30000000</v>
      </c>
      <c r="O7" s="6">
        <v>0</v>
      </c>
      <c r="P7" s="6">
        <v>0</v>
      </c>
      <c r="Q7" s="6">
        <v>0</v>
      </c>
      <c r="R7" s="6">
        <v>0</v>
      </c>
      <c r="S7" s="6">
        <v>0</v>
      </c>
      <c r="T7" s="6">
        <v>10000000</v>
      </c>
      <c r="U7" s="6">
        <v>0</v>
      </c>
      <c r="V7" s="6">
        <v>0</v>
      </c>
      <c r="W7" s="6">
        <v>0</v>
      </c>
      <c r="X7" s="6">
        <v>0</v>
      </c>
      <c r="Y7" s="6">
        <v>0</v>
      </c>
      <c r="Z7" s="6">
        <v>0</v>
      </c>
      <c r="AA7" s="6">
        <v>0</v>
      </c>
      <c r="AB7" s="25">
        <f t="shared" si="0"/>
        <v>40000000</v>
      </c>
    </row>
    <row r="8" spans="1:28" s="18" customFormat="1" ht="45" x14ac:dyDescent="0.25">
      <c r="A8" s="18" t="s">
        <v>67</v>
      </c>
      <c r="B8" s="18" t="s">
        <v>10</v>
      </c>
      <c r="C8" s="19">
        <v>3301</v>
      </c>
      <c r="D8" s="18" t="s">
        <v>11</v>
      </c>
      <c r="E8" s="19" t="s">
        <v>234</v>
      </c>
      <c r="F8" s="20">
        <v>330105100</v>
      </c>
      <c r="G8" s="21" t="s">
        <v>132</v>
      </c>
      <c r="H8" s="22" t="s">
        <v>12</v>
      </c>
      <c r="I8" s="23">
        <v>800</v>
      </c>
      <c r="J8" s="23">
        <v>200</v>
      </c>
      <c r="K8" s="24">
        <v>202500000047838</v>
      </c>
      <c r="L8" s="24" t="s">
        <v>106</v>
      </c>
      <c r="M8" s="18" t="s">
        <v>212</v>
      </c>
      <c r="N8" s="6">
        <f>84619031+100000000</f>
        <v>184619031</v>
      </c>
      <c r="O8" s="6">
        <v>0</v>
      </c>
      <c r="P8" s="6">
        <v>0</v>
      </c>
      <c r="Q8" s="6">
        <v>98139969</v>
      </c>
      <c r="R8" s="6">
        <v>0</v>
      </c>
      <c r="S8" s="6">
        <v>0</v>
      </c>
      <c r="T8" s="6">
        <v>50000000</v>
      </c>
      <c r="U8" s="6">
        <v>0</v>
      </c>
      <c r="V8" s="6">
        <v>0</v>
      </c>
      <c r="W8" s="6">
        <v>0</v>
      </c>
      <c r="X8" s="6">
        <v>0</v>
      </c>
      <c r="Y8" s="6">
        <v>0</v>
      </c>
      <c r="Z8" s="6">
        <v>0</v>
      </c>
      <c r="AA8" s="6">
        <v>0</v>
      </c>
      <c r="AB8" s="25">
        <f t="shared" si="0"/>
        <v>332759000</v>
      </c>
    </row>
    <row r="9" spans="1:28" s="18" customFormat="1" ht="30" x14ac:dyDescent="0.25">
      <c r="A9" s="18" t="s">
        <v>67</v>
      </c>
      <c r="B9" s="18" t="s">
        <v>10</v>
      </c>
      <c r="C9" s="19">
        <v>3301</v>
      </c>
      <c r="D9" s="18" t="s">
        <v>11</v>
      </c>
      <c r="E9" s="19" t="s">
        <v>235</v>
      </c>
      <c r="F9" s="20">
        <v>330108500</v>
      </c>
      <c r="G9" s="21" t="s">
        <v>133</v>
      </c>
      <c r="H9" s="22" t="s">
        <v>13</v>
      </c>
      <c r="I9" s="23">
        <v>10000</v>
      </c>
      <c r="J9" s="23">
        <v>2500</v>
      </c>
      <c r="K9" s="24">
        <v>202500000047842</v>
      </c>
      <c r="L9" s="24" t="s">
        <v>106</v>
      </c>
      <c r="M9" s="18" t="s">
        <v>213</v>
      </c>
      <c r="N9" s="6">
        <v>33206000</v>
      </c>
      <c r="O9" s="6">
        <v>0</v>
      </c>
      <c r="P9" s="6">
        <v>0</v>
      </c>
      <c r="Q9" s="6">
        <v>0</v>
      </c>
      <c r="R9" s="6">
        <v>0</v>
      </c>
      <c r="S9" s="6">
        <v>0</v>
      </c>
      <c r="T9" s="6">
        <v>0</v>
      </c>
      <c r="U9" s="6">
        <v>0</v>
      </c>
      <c r="V9" s="6">
        <v>0</v>
      </c>
      <c r="W9" s="6">
        <v>0</v>
      </c>
      <c r="X9" s="6">
        <v>0</v>
      </c>
      <c r="Y9" s="6">
        <v>0</v>
      </c>
      <c r="Z9" s="6">
        <v>0</v>
      </c>
      <c r="AA9" s="6">
        <v>0</v>
      </c>
      <c r="AB9" s="25">
        <f t="shared" si="0"/>
        <v>33206000</v>
      </c>
    </row>
    <row r="10" spans="1:28" s="18" customFormat="1" ht="360" x14ac:dyDescent="0.25">
      <c r="A10" s="18" t="s">
        <v>67</v>
      </c>
      <c r="B10" s="18" t="s">
        <v>10</v>
      </c>
      <c r="C10" s="19">
        <v>3301</v>
      </c>
      <c r="D10" s="18" t="s">
        <v>11</v>
      </c>
      <c r="E10" s="19" t="s">
        <v>236</v>
      </c>
      <c r="F10" s="20">
        <v>330105300</v>
      </c>
      <c r="G10" s="21" t="s">
        <v>134</v>
      </c>
      <c r="H10" s="22" t="s">
        <v>14</v>
      </c>
      <c r="I10" s="23">
        <v>40</v>
      </c>
      <c r="J10" s="23">
        <v>21</v>
      </c>
      <c r="K10" s="24">
        <v>202500000047878</v>
      </c>
      <c r="L10" s="24" t="s">
        <v>106</v>
      </c>
      <c r="M10" s="18" t="s">
        <v>214</v>
      </c>
      <c r="N10" s="6">
        <v>536854822.88</v>
      </c>
      <c r="O10" s="6">
        <v>0</v>
      </c>
      <c r="P10" s="6">
        <v>0</v>
      </c>
      <c r="Q10" s="6">
        <v>90224764</v>
      </c>
      <c r="R10" s="6">
        <v>0</v>
      </c>
      <c r="S10" s="6">
        <v>0</v>
      </c>
      <c r="T10" s="6">
        <v>0</v>
      </c>
      <c r="U10" s="6">
        <v>0</v>
      </c>
      <c r="V10" s="6">
        <v>0</v>
      </c>
      <c r="W10" s="6">
        <v>0</v>
      </c>
      <c r="X10" s="6">
        <v>0</v>
      </c>
      <c r="Y10" s="6">
        <v>0</v>
      </c>
      <c r="Z10" s="6">
        <v>0</v>
      </c>
      <c r="AA10" s="6">
        <v>0</v>
      </c>
      <c r="AB10" s="25">
        <f t="shared" si="0"/>
        <v>627079586.88</v>
      </c>
    </row>
    <row r="11" spans="1:28" s="18" customFormat="1" ht="30" x14ac:dyDescent="0.25">
      <c r="A11" s="18" t="s">
        <v>67</v>
      </c>
      <c r="B11" s="18" t="s">
        <v>10</v>
      </c>
      <c r="C11" s="19">
        <v>3301</v>
      </c>
      <c r="D11" s="18" t="s">
        <v>11</v>
      </c>
      <c r="E11" s="19" t="s">
        <v>237</v>
      </c>
      <c r="F11" s="20">
        <v>330101800</v>
      </c>
      <c r="G11" s="21" t="s">
        <v>135</v>
      </c>
      <c r="H11" s="22" t="s">
        <v>15</v>
      </c>
      <c r="I11" s="23">
        <v>2</v>
      </c>
      <c r="J11" s="23">
        <v>1</v>
      </c>
      <c r="K11" s="24">
        <v>202500000047800</v>
      </c>
      <c r="L11" s="24" t="s">
        <v>106</v>
      </c>
      <c r="M11" s="18" t="s">
        <v>215</v>
      </c>
      <c r="N11" s="6">
        <f>31029249+200000000</f>
        <v>231029249</v>
      </c>
      <c r="O11" s="6">
        <v>0</v>
      </c>
      <c r="P11" s="6">
        <v>0</v>
      </c>
      <c r="Q11" s="6">
        <v>0</v>
      </c>
      <c r="R11" s="6">
        <v>0</v>
      </c>
      <c r="S11" s="6">
        <v>0</v>
      </c>
      <c r="T11" s="6">
        <v>0</v>
      </c>
      <c r="U11" s="6">
        <v>0</v>
      </c>
      <c r="V11" s="6">
        <v>0</v>
      </c>
      <c r="W11" s="6">
        <v>0</v>
      </c>
      <c r="X11" s="6">
        <v>0</v>
      </c>
      <c r="Y11" s="6">
        <v>0</v>
      </c>
      <c r="Z11" s="6">
        <v>0</v>
      </c>
      <c r="AA11" s="6">
        <v>0</v>
      </c>
      <c r="AB11" s="25">
        <f t="shared" si="0"/>
        <v>231029249</v>
      </c>
    </row>
    <row r="12" spans="1:28" s="18" customFormat="1" ht="30" x14ac:dyDescent="0.25">
      <c r="A12" s="18" t="s">
        <v>67</v>
      </c>
      <c r="B12" s="18" t="s">
        <v>10</v>
      </c>
      <c r="C12" s="19">
        <v>3301</v>
      </c>
      <c r="D12" s="18" t="s">
        <v>11</v>
      </c>
      <c r="E12" s="19">
        <v>3301127</v>
      </c>
      <c r="F12" s="20">
        <v>330112700</v>
      </c>
      <c r="G12" s="21" t="s">
        <v>323</v>
      </c>
      <c r="H12" s="22" t="s">
        <v>324</v>
      </c>
      <c r="I12" s="23">
        <v>4</v>
      </c>
      <c r="J12" s="23">
        <v>1</v>
      </c>
      <c r="K12" s="24">
        <v>202600000012586</v>
      </c>
      <c r="L12" s="24" t="s">
        <v>106</v>
      </c>
      <c r="M12" s="18" t="s">
        <v>325</v>
      </c>
      <c r="N12" s="6">
        <v>0</v>
      </c>
      <c r="O12" s="6">
        <v>0</v>
      </c>
      <c r="P12" s="6">
        <v>0</v>
      </c>
      <c r="Q12" s="6">
        <v>0</v>
      </c>
      <c r="R12" s="6">
        <v>0</v>
      </c>
      <c r="S12" s="6">
        <v>0</v>
      </c>
      <c r="T12" s="6">
        <v>59160720</v>
      </c>
      <c r="U12" s="6">
        <v>0</v>
      </c>
      <c r="V12" s="6">
        <v>0</v>
      </c>
      <c r="W12" s="6">
        <v>0</v>
      </c>
      <c r="X12" s="6">
        <v>0</v>
      </c>
      <c r="Y12" s="6">
        <v>0</v>
      </c>
      <c r="Z12" s="6">
        <v>0</v>
      </c>
      <c r="AA12" s="6">
        <v>0</v>
      </c>
      <c r="AB12" s="25">
        <f t="shared" si="0"/>
        <v>59160720</v>
      </c>
    </row>
    <row r="13" spans="1:28" s="18" customFormat="1" ht="30" x14ac:dyDescent="0.25">
      <c r="A13" s="18" t="s">
        <v>67</v>
      </c>
      <c r="B13" s="18" t="s">
        <v>10</v>
      </c>
      <c r="C13" s="19">
        <v>3301</v>
      </c>
      <c r="D13" s="18" t="s">
        <v>11</v>
      </c>
      <c r="E13" s="19" t="s">
        <v>238</v>
      </c>
      <c r="F13" s="20">
        <v>330112900</v>
      </c>
      <c r="G13" s="21" t="s">
        <v>136</v>
      </c>
      <c r="H13" s="22" t="s">
        <v>16</v>
      </c>
      <c r="I13" s="23">
        <v>1</v>
      </c>
      <c r="J13" s="23">
        <v>1</v>
      </c>
      <c r="K13" s="24">
        <v>202500000047832</v>
      </c>
      <c r="L13" s="24" t="s">
        <v>106</v>
      </c>
      <c r="M13" s="18" t="s">
        <v>216</v>
      </c>
      <c r="N13" s="6">
        <v>20000000</v>
      </c>
      <c r="O13" s="6">
        <v>0</v>
      </c>
      <c r="P13" s="6">
        <v>0</v>
      </c>
      <c r="Q13" s="6">
        <v>0</v>
      </c>
      <c r="R13" s="6">
        <v>0</v>
      </c>
      <c r="S13" s="6">
        <v>0</v>
      </c>
      <c r="T13" s="6">
        <v>0</v>
      </c>
      <c r="U13" s="6">
        <v>0</v>
      </c>
      <c r="V13" s="6">
        <v>0</v>
      </c>
      <c r="W13" s="6">
        <v>0</v>
      </c>
      <c r="X13" s="6">
        <v>0</v>
      </c>
      <c r="Y13" s="6">
        <v>0</v>
      </c>
      <c r="Z13" s="6">
        <v>0</v>
      </c>
      <c r="AA13" s="6">
        <v>0</v>
      </c>
      <c r="AB13" s="25">
        <f t="shared" si="0"/>
        <v>20000000</v>
      </c>
    </row>
    <row r="14" spans="1:28" s="18" customFormat="1" ht="30" x14ac:dyDescent="0.25">
      <c r="A14" s="18" t="s">
        <v>67</v>
      </c>
      <c r="B14" s="18" t="s">
        <v>10</v>
      </c>
      <c r="C14" s="19">
        <v>3302</v>
      </c>
      <c r="D14" s="18" t="s">
        <v>17</v>
      </c>
      <c r="E14" s="19" t="s">
        <v>239</v>
      </c>
      <c r="F14" s="20">
        <v>330204900</v>
      </c>
      <c r="G14" s="21" t="s">
        <v>137</v>
      </c>
      <c r="H14" s="22" t="s">
        <v>18</v>
      </c>
      <c r="I14" s="23">
        <v>4</v>
      </c>
      <c r="J14" s="23">
        <v>1</v>
      </c>
      <c r="K14" s="24">
        <v>202500000047879</v>
      </c>
      <c r="L14" s="24" t="s">
        <v>106</v>
      </c>
      <c r="M14" s="18" t="s">
        <v>284</v>
      </c>
      <c r="N14" s="6">
        <v>30000066</v>
      </c>
      <c r="O14" s="6">
        <v>0</v>
      </c>
      <c r="P14" s="6">
        <v>0</v>
      </c>
      <c r="Q14" s="6">
        <v>0</v>
      </c>
      <c r="R14" s="6">
        <v>0</v>
      </c>
      <c r="S14" s="6">
        <v>0</v>
      </c>
      <c r="T14" s="6">
        <v>0</v>
      </c>
      <c r="U14" s="6">
        <v>0</v>
      </c>
      <c r="V14" s="6">
        <v>0</v>
      </c>
      <c r="W14" s="6">
        <v>0</v>
      </c>
      <c r="X14" s="6">
        <v>0</v>
      </c>
      <c r="Y14" s="6">
        <v>0</v>
      </c>
      <c r="Z14" s="6">
        <v>0</v>
      </c>
      <c r="AA14" s="6">
        <v>0</v>
      </c>
      <c r="AB14" s="25">
        <f t="shared" si="0"/>
        <v>30000066</v>
      </c>
    </row>
    <row r="15" spans="1:28" s="18" customFormat="1" ht="30" x14ac:dyDescent="0.25">
      <c r="A15" s="18" t="s">
        <v>67</v>
      </c>
      <c r="B15" s="18" t="s">
        <v>10</v>
      </c>
      <c r="C15" s="19">
        <v>3302</v>
      </c>
      <c r="D15" s="18" t="s">
        <v>17</v>
      </c>
      <c r="E15" s="19" t="s">
        <v>285</v>
      </c>
      <c r="F15" s="20">
        <v>330207000</v>
      </c>
      <c r="G15" s="21" t="s">
        <v>286</v>
      </c>
      <c r="H15" s="22" t="s">
        <v>19</v>
      </c>
      <c r="I15" s="23">
        <v>2</v>
      </c>
      <c r="J15" s="23">
        <v>1</v>
      </c>
      <c r="K15" s="24">
        <v>202500000047807</v>
      </c>
      <c r="L15" s="24" t="s">
        <v>106</v>
      </c>
      <c r="M15" s="18" t="s">
        <v>287</v>
      </c>
      <c r="N15" s="6">
        <v>42000000</v>
      </c>
      <c r="O15" s="6">
        <v>0</v>
      </c>
      <c r="P15" s="6">
        <v>0</v>
      </c>
      <c r="Q15" s="6">
        <v>0</v>
      </c>
      <c r="R15" s="6">
        <v>0</v>
      </c>
      <c r="S15" s="6">
        <v>0</v>
      </c>
      <c r="T15" s="6">
        <v>0</v>
      </c>
      <c r="U15" s="6">
        <v>0</v>
      </c>
      <c r="V15" s="6">
        <v>0</v>
      </c>
      <c r="W15" s="6">
        <v>0</v>
      </c>
      <c r="X15" s="6">
        <v>0</v>
      </c>
      <c r="Y15" s="6">
        <v>0</v>
      </c>
      <c r="Z15" s="6">
        <v>0</v>
      </c>
      <c r="AA15" s="6">
        <v>0</v>
      </c>
      <c r="AB15" s="25">
        <f t="shared" si="0"/>
        <v>42000000</v>
      </c>
    </row>
    <row r="16" spans="1:28" s="18" customFormat="1" ht="45" x14ac:dyDescent="0.25">
      <c r="A16" s="18" t="s">
        <v>67</v>
      </c>
      <c r="B16" s="18" t="s">
        <v>20</v>
      </c>
      <c r="C16" s="19">
        <v>4301</v>
      </c>
      <c r="D16" s="18" t="s">
        <v>21</v>
      </c>
      <c r="E16" s="19">
        <v>4301009</v>
      </c>
      <c r="F16" s="20">
        <v>430101200</v>
      </c>
      <c r="G16" s="21" t="s">
        <v>220</v>
      </c>
      <c r="H16" s="22" t="s">
        <v>22</v>
      </c>
      <c r="I16" s="23">
        <v>4</v>
      </c>
      <c r="J16" s="23">
        <v>1</v>
      </c>
      <c r="K16" s="24">
        <v>202500000048358</v>
      </c>
      <c r="L16" s="24" t="s">
        <v>107</v>
      </c>
      <c r="M16" s="18" t="s">
        <v>221</v>
      </c>
      <c r="N16" s="6">
        <v>0</v>
      </c>
      <c r="O16" s="6">
        <v>0</v>
      </c>
      <c r="P16" s="6">
        <v>0</v>
      </c>
      <c r="Q16" s="6">
        <v>0</v>
      </c>
      <c r="R16" s="6">
        <v>0</v>
      </c>
      <c r="S16" s="6">
        <v>0</v>
      </c>
      <c r="T16" s="6">
        <v>0</v>
      </c>
      <c r="U16" s="6">
        <v>30000000</v>
      </c>
      <c r="V16" s="6">
        <v>0</v>
      </c>
      <c r="W16" s="6">
        <v>0</v>
      </c>
      <c r="X16" s="6">
        <v>0</v>
      </c>
      <c r="Y16" s="6">
        <v>0</v>
      </c>
      <c r="Z16" s="6">
        <v>0</v>
      </c>
      <c r="AA16" s="6">
        <v>0</v>
      </c>
      <c r="AB16" s="25">
        <f t="shared" ref="AB16:AB32" si="1">SUM(N16:AA16)</f>
        <v>30000000</v>
      </c>
    </row>
    <row r="17" spans="1:28" s="18" customFormat="1" ht="45" x14ac:dyDescent="0.25">
      <c r="A17" s="18" t="s">
        <v>67</v>
      </c>
      <c r="B17" s="18" t="s">
        <v>20</v>
      </c>
      <c r="C17" s="19">
        <v>4301</v>
      </c>
      <c r="D17" s="18" t="s">
        <v>21</v>
      </c>
      <c r="E17" s="19">
        <v>4301017</v>
      </c>
      <c r="F17" s="20">
        <v>430101700</v>
      </c>
      <c r="G17" s="21" t="s">
        <v>326</v>
      </c>
      <c r="H17" s="21" t="s">
        <v>326</v>
      </c>
      <c r="I17" s="23">
        <v>1</v>
      </c>
      <c r="J17" s="23">
        <v>1</v>
      </c>
      <c r="K17" s="24">
        <v>202600000012610</v>
      </c>
      <c r="L17" s="12" t="s">
        <v>110</v>
      </c>
      <c r="M17" s="18" t="s">
        <v>327</v>
      </c>
      <c r="N17" s="6">
        <v>112012348.87</v>
      </c>
      <c r="O17" s="6">
        <v>0</v>
      </c>
      <c r="P17" s="6">
        <v>0</v>
      </c>
      <c r="Q17" s="6">
        <v>0</v>
      </c>
      <c r="R17" s="6">
        <v>120299685</v>
      </c>
      <c r="S17" s="6">
        <v>0</v>
      </c>
      <c r="T17" s="6">
        <v>0</v>
      </c>
      <c r="U17" s="6">
        <v>0</v>
      </c>
      <c r="V17" s="6">
        <v>0</v>
      </c>
      <c r="W17" s="6">
        <v>0</v>
      </c>
      <c r="X17" s="6">
        <v>645205.96</v>
      </c>
      <c r="Y17" s="6">
        <v>0</v>
      </c>
      <c r="Z17" s="6">
        <v>0</v>
      </c>
      <c r="AA17" s="6">
        <v>0</v>
      </c>
      <c r="AB17" s="25">
        <f t="shared" si="1"/>
        <v>232957239.83000001</v>
      </c>
    </row>
    <row r="18" spans="1:28" s="18" customFormat="1" ht="45" x14ac:dyDescent="0.25">
      <c r="A18" s="18" t="s">
        <v>67</v>
      </c>
      <c r="B18" s="18" t="s">
        <v>20</v>
      </c>
      <c r="C18" s="19">
        <v>4301</v>
      </c>
      <c r="D18" s="18" t="s">
        <v>21</v>
      </c>
      <c r="E18" s="19">
        <v>4301024</v>
      </c>
      <c r="F18" s="20">
        <v>430102400</v>
      </c>
      <c r="G18" s="21" t="s">
        <v>288</v>
      </c>
      <c r="H18" s="21" t="s">
        <v>288</v>
      </c>
      <c r="I18" s="23">
        <v>4</v>
      </c>
      <c r="J18" s="23">
        <v>2</v>
      </c>
      <c r="K18" s="24">
        <v>202500000048481</v>
      </c>
      <c r="L18" s="24" t="s">
        <v>107</v>
      </c>
      <c r="M18" s="18" t="s">
        <v>289</v>
      </c>
      <c r="N18" s="6">
        <v>0</v>
      </c>
      <c r="O18" s="6">
        <v>0</v>
      </c>
      <c r="P18" s="6">
        <v>0</v>
      </c>
      <c r="Q18" s="6">
        <v>0</v>
      </c>
      <c r="R18" s="6">
        <v>0</v>
      </c>
      <c r="S18" s="6">
        <v>0</v>
      </c>
      <c r="T18" s="6">
        <v>0</v>
      </c>
      <c r="U18" s="6">
        <v>50000000</v>
      </c>
      <c r="V18" s="6">
        <v>0</v>
      </c>
      <c r="W18" s="6">
        <v>0</v>
      </c>
      <c r="X18" s="6">
        <v>0</v>
      </c>
      <c r="Y18" s="6">
        <v>0</v>
      </c>
      <c r="Z18" s="6">
        <v>0</v>
      </c>
      <c r="AA18" s="6">
        <v>0</v>
      </c>
      <c r="AB18" s="25">
        <f t="shared" ref="AB18" si="2">SUM(N18:AA18)</f>
        <v>50000000</v>
      </c>
    </row>
    <row r="19" spans="1:28" s="18" customFormat="1" ht="120" x14ac:dyDescent="0.25">
      <c r="A19" s="18" t="s">
        <v>67</v>
      </c>
      <c r="B19" s="18" t="s">
        <v>20</v>
      </c>
      <c r="C19" s="19">
        <v>4301</v>
      </c>
      <c r="D19" s="18" t="s">
        <v>21</v>
      </c>
      <c r="E19" s="19" t="s">
        <v>240</v>
      </c>
      <c r="F19" s="20">
        <v>430103700</v>
      </c>
      <c r="G19" s="21" t="s">
        <v>222</v>
      </c>
      <c r="H19" s="22" t="s">
        <v>223</v>
      </c>
      <c r="I19" s="23">
        <v>6000</v>
      </c>
      <c r="J19" s="23">
        <v>1500</v>
      </c>
      <c r="K19" s="24">
        <v>202500000048491</v>
      </c>
      <c r="L19" s="24" t="s">
        <v>107</v>
      </c>
      <c r="M19" s="18" t="s">
        <v>224</v>
      </c>
      <c r="N19" s="6">
        <v>200000000</v>
      </c>
      <c r="O19" s="6">
        <v>0</v>
      </c>
      <c r="P19" s="6">
        <v>0</v>
      </c>
      <c r="Q19" s="6">
        <v>0</v>
      </c>
      <c r="R19" s="6">
        <v>130853292</v>
      </c>
      <c r="S19" s="6">
        <v>0</v>
      </c>
      <c r="T19" s="6">
        <v>290000000</v>
      </c>
      <c r="U19" s="6">
        <v>0</v>
      </c>
      <c r="V19" s="6">
        <v>0</v>
      </c>
      <c r="W19" s="6">
        <v>0</v>
      </c>
      <c r="X19" s="6">
        <v>0</v>
      </c>
      <c r="Y19" s="6">
        <v>0</v>
      </c>
      <c r="Z19" s="6">
        <v>0</v>
      </c>
      <c r="AA19" s="6">
        <v>0</v>
      </c>
      <c r="AB19" s="25">
        <f t="shared" si="1"/>
        <v>620853292</v>
      </c>
    </row>
    <row r="20" spans="1:28" s="18" customFormat="1" ht="60" x14ac:dyDescent="0.25">
      <c r="A20" s="18" t="s">
        <v>67</v>
      </c>
      <c r="B20" s="18" t="s">
        <v>72</v>
      </c>
      <c r="C20" s="19">
        <v>4101</v>
      </c>
      <c r="D20" s="18" t="s">
        <v>73</v>
      </c>
      <c r="E20" s="19" t="s">
        <v>241</v>
      </c>
      <c r="F20" s="20">
        <v>410101400</v>
      </c>
      <c r="G20" s="21" t="s">
        <v>175</v>
      </c>
      <c r="H20" s="22" t="s">
        <v>23</v>
      </c>
      <c r="I20" s="23">
        <v>150</v>
      </c>
      <c r="J20" s="23">
        <v>30</v>
      </c>
      <c r="K20" s="24">
        <v>202500000048206</v>
      </c>
      <c r="L20" s="24" t="s">
        <v>108</v>
      </c>
      <c r="M20" s="18" t="s">
        <v>176</v>
      </c>
      <c r="N20" s="6">
        <v>0</v>
      </c>
      <c r="O20" s="6">
        <v>0</v>
      </c>
      <c r="P20" s="6">
        <v>0</v>
      </c>
      <c r="Q20" s="6">
        <v>0</v>
      </c>
      <c r="R20" s="6">
        <v>0</v>
      </c>
      <c r="S20" s="6">
        <v>0</v>
      </c>
      <c r="T20" s="6">
        <v>0</v>
      </c>
      <c r="U20" s="6">
        <v>42480000</v>
      </c>
      <c r="V20" s="6">
        <v>0</v>
      </c>
      <c r="W20" s="6">
        <v>0</v>
      </c>
      <c r="X20" s="6">
        <v>0</v>
      </c>
      <c r="Y20" s="6">
        <v>0</v>
      </c>
      <c r="Z20" s="6">
        <v>0</v>
      </c>
      <c r="AA20" s="6">
        <v>0</v>
      </c>
      <c r="AB20" s="25">
        <f t="shared" si="1"/>
        <v>42480000</v>
      </c>
    </row>
    <row r="21" spans="1:28" s="18" customFormat="1" ht="60" x14ac:dyDescent="0.25">
      <c r="A21" s="18" t="s">
        <v>67</v>
      </c>
      <c r="B21" s="18" t="s">
        <v>72</v>
      </c>
      <c r="C21" s="19">
        <v>4101</v>
      </c>
      <c r="D21" s="18" t="s">
        <v>73</v>
      </c>
      <c r="E21" s="19" t="s">
        <v>242</v>
      </c>
      <c r="F21" s="20">
        <v>410102500</v>
      </c>
      <c r="G21" s="21" t="s">
        <v>177</v>
      </c>
      <c r="H21" s="22" t="s">
        <v>24</v>
      </c>
      <c r="I21" s="23">
        <v>50</v>
      </c>
      <c r="J21" s="23">
        <v>12</v>
      </c>
      <c r="K21" s="24">
        <v>202500000048192</v>
      </c>
      <c r="L21" s="24" t="s">
        <v>108</v>
      </c>
      <c r="M21" s="18" t="s">
        <v>178</v>
      </c>
      <c r="N21" s="6">
        <v>15000000</v>
      </c>
      <c r="O21" s="6">
        <v>0</v>
      </c>
      <c r="P21" s="6">
        <v>0</v>
      </c>
      <c r="Q21" s="6">
        <v>0</v>
      </c>
      <c r="R21" s="6">
        <v>0</v>
      </c>
      <c r="S21" s="6">
        <v>0</v>
      </c>
      <c r="T21" s="6">
        <v>0</v>
      </c>
      <c r="U21" s="6">
        <v>0</v>
      </c>
      <c r="V21" s="6">
        <v>0</v>
      </c>
      <c r="W21" s="6">
        <v>0</v>
      </c>
      <c r="X21" s="6">
        <v>0</v>
      </c>
      <c r="Y21" s="6">
        <v>0</v>
      </c>
      <c r="Z21" s="6">
        <v>0</v>
      </c>
      <c r="AA21" s="6">
        <v>0</v>
      </c>
      <c r="AB21" s="25">
        <f t="shared" si="1"/>
        <v>15000000</v>
      </c>
    </row>
    <row r="22" spans="1:28" s="18" customFormat="1" ht="60" x14ac:dyDescent="0.25">
      <c r="A22" s="18" t="s">
        <v>67</v>
      </c>
      <c r="B22" s="18" t="s">
        <v>72</v>
      </c>
      <c r="C22" s="19">
        <v>4102</v>
      </c>
      <c r="D22" s="18" t="s">
        <v>74</v>
      </c>
      <c r="E22" s="19" t="s">
        <v>243</v>
      </c>
      <c r="F22" s="20">
        <v>410200100</v>
      </c>
      <c r="G22" s="21" t="s">
        <v>179</v>
      </c>
      <c r="H22" s="22" t="s">
        <v>25</v>
      </c>
      <c r="I22" s="23">
        <v>1200</v>
      </c>
      <c r="J22" s="23">
        <v>300</v>
      </c>
      <c r="K22" s="24">
        <v>202500000048222</v>
      </c>
      <c r="L22" s="24" t="s">
        <v>108</v>
      </c>
      <c r="M22" s="18" t="s">
        <v>180</v>
      </c>
      <c r="N22" s="6">
        <v>0</v>
      </c>
      <c r="O22" s="6">
        <v>0</v>
      </c>
      <c r="P22" s="6">
        <v>0</v>
      </c>
      <c r="Q22" s="6">
        <v>0</v>
      </c>
      <c r="R22" s="6">
        <v>0</v>
      </c>
      <c r="S22" s="6">
        <v>0</v>
      </c>
      <c r="T22" s="6">
        <v>90000000</v>
      </c>
      <c r="U22" s="6">
        <v>0</v>
      </c>
      <c r="V22" s="6">
        <v>0</v>
      </c>
      <c r="W22" s="6">
        <v>0</v>
      </c>
      <c r="X22" s="6">
        <v>0</v>
      </c>
      <c r="Y22" s="6">
        <v>0</v>
      </c>
      <c r="Z22" s="6">
        <v>0</v>
      </c>
      <c r="AA22" s="6">
        <v>0</v>
      </c>
      <c r="AB22" s="25">
        <f t="shared" si="1"/>
        <v>90000000</v>
      </c>
    </row>
    <row r="23" spans="1:28" s="18" customFormat="1" ht="60" x14ac:dyDescent="0.25">
      <c r="A23" s="18" t="s">
        <v>67</v>
      </c>
      <c r="B23" s="18" t="s">
        <v>72</v>
      </c>
      <c r="C23" s="19">
        <v>4102</v>
      </c>
      <c r="D23" s="18" t="s">
        <v>74</v>
      </c>
      <c r="E23" s="19">
        <v>4102006</v>
      </c>
      <c r="F23" s="20">
        <v>410200600</v>
      </c>
      <c r="G23" s="21" t="s">
        <v>328</v>
      </c>
      <c r="H23" s="22" t="s">
        <v>329</v>
      </c>
      <c r="I23" s="23">
        <v>1</v>
      </c>
      <c r="J23" s="23">
        <v>1</v>
      </c>
      <c r="K23" s="24">
        <v>202600000012656</v>
      </c>
      <c r="L23" s="24" t="s">
        <v>108</v>
      </c>
      <c r="M23" s="18" t="s">
        <v>330</v>
      </c>
      <c r="N23" s="6">
        <v>0</v>
      </c>
      <c r="O23" s="6">
        <v>0</v>
      </c>
      <c r="P23" s="6">
        <v>0</v>
      </c>
      <c r="Q23" s="6">
        <v>0</v>
      </c>
      <c r="R23" s="6">
        <v>0</v>
      </c>
      <c r="S23" s="6">
        <v>0</v>
      </c>
      <c r="T23" s="6">
        <v>0</v>
      </c>
      <c r="U23" s="6">
        <v>0</v>
      </c>
      <c r="V23" s="6">
        <v>0</v>
      </c>
      <c r="W23" s="6">
        <v>0</v>
      </c>
      <c r="X23" s="6">
        <v>0</v>
      </c>
      <c r="Y23" s="6">
        <v>0</v>
      </c>
      <c r="Z23" s="6">
        <v>0</v>
      </c>
      <c r="AA23" s="6">
        <v>52367961.289999999</v>
      </c>
      <c r="AB23" s="25">
        <f t="shared" ref="AB23" si="3">SUM(N23:AA23)</f>
        <v>52367961.289999999</v>
      </c>
    </row>
    <row r="24" spans="1:28" s="18" customFormat="1" ht="60" x14ac:dyDescent="0.25">
      <c r="A24" s="18" t="s">
        <v>67</v>
      </c>
      <c r="B24" s="18" t="s">
        <v>72</v>
      </c>
      <c r="C24" s="19">
        <v>4102</v>
      </c>
      <c r="D24" s="18" t="s">
        <v>74</v>
      </c>
      <c r="E24" s="19" t="s">
        <v>244</v>
      </c>
      <c r="F24" s="20">
        <v>410203800</v>
      </c>
      <c r="G24" s="21" t="s">
        <v>26</v>
      </c>
      <c r="H24" s="22" t="s">
        <v>26</v>
      </c>
      <c r="I24" s="23">
        <v>60</v>
      </c>
      <c r="J24" s="23">
        <v>15</v>
      </c>
      <c r="K24" s="24">
        <v>202500000048210</v>
      </c>
      <c r="L24" s="24" t="s">
        <v>108</v>
      </c>
      <c r="M24" s="18" t="s">
        <v>181</v>
      </c>
      <c r="N24" s="6">
        <v>110000000</v>
      </c>
      <c r="O24" s="6">
        <v>0</v>
      </c>
      <c r="P24" s="6">
        <v>0</v>
      </c>
      <c r="Q24" s="6">
        <v>0</v>
      </c>
      <c r="R24" s="6">
        <v>0</v>
      </c>
      <c r="S24" s="6">
        <v>0</v>
      </c>
      <c r="T24" s="6">
        <v>0</v>
      </c>
      <c r="U24" s="6">
        <v>48217564</v>
      </c>
      <c r="V24" s="6">
        <v>0</v>
      </c>
      <c r="W24" s="6">
        <v>0</v>
      </c>
      <c r="X24" s="6">
        <v>0</v>
      </c>
      <c r="Y24" s="6">
        <v>0</v>
      </c>
      <c r="Z24" s="6">
        <v>0</v>
      </c>
      <c r="AA24" s="6">
        <v>0</v>
      </c>
      <c r="AB24" s="25">
        <f>SUM(N24:AA24)</f>
        <v>158217564</v>
      </c>
    </row>
    <row r="25" spans="1:28" s="18" customFormat="1" ht="60" x14ac:dyDescent="0.25">
      <c r="A25" s="18" t="s">
        <v>67</v>
      </c>
      <c r="B25" s="18" t="s">
        <v>72</v>
      </c>
      <c r="C25" s="19">
        <v>4102</v>
      </c>
      <c r="D25" s="18" t="s">
        <v>74</v>
      </c>
      <c r="E25" s="19" t="s">
        <v>245</v>
      </c>
      <c r="F25" s="20">
        <v>410204200</v>
      </c>
      <c r="G25" s="21" t="s">
        <v>27</v>
      </c>
      <c r="H25" s="22" t="s">
        <v>27</v>
      </c>
      <c r="I25" s="23">
        <v>24</v>
      </c>
      <c r="J25" s="23">
        <v>5</v>
      </c>
      <c r="K25" s="24">
        <v>202500000048257</v>
      </c>
      <c r="L25" s="24" t="s">
        <v>108</v>
      </c>
      <c r="M25" s="18" t="s">
        <v>181</v>
      </c>
      <c r="N25" s="6">
        <v>37328368</v>
      </c>
      <c r="O25" s="6">
        <v>0</v>
      </c>
      <c r="P25" s="6">
        <v>0</v>
      </c>
      <c r="Q25" s="6">
        <v>0</v>
      </c>
      <c r="R25" s="6">
        <v>0</v>
      </c>
      <c r="S25" s="6">
        <v>0</v>
      </c>
      <c r="T25" s="6">
        <v>28671634</v>
      </c>
      <c r="U25" s="6">
        <v>0</v>
      </c>
      <c r="V25" s="6">
        <v>0</v>
      </c>
      <c r="W25" s="6">
        <v>0</v>
      </c>
      <c r="X25" s="6">
        <v>0</v>
      </c>
      <c r="Y25" s="6">
        <v>0</v>
      </c>
      <c r="Z25" s="6">
        <v>0</v>
      </c>
      <c r="AA25" s="6">
        <v>0</v>
      </c>
      <c r="AB25" s="25">
        <f t="shared" si="1"/>
        <v>66000002</v>
      </c>
    </row>
    <row r="26" spans="1:28" s="18" customFormat="1" ht="60" x14ac:dyDescent="0.25">
      <c r="A26" s="18" t="s">
        <v>67</v>
      </c>
      <c r="B26" s="18" t="s">
        <v>72</v>
      </c>
      <c r="C26" s="19">
        <v>4102</v>
      </c>
      <c r="D26" s="18" t="s">
        <v>74</v>
      </c>
      <c r="E26" s="19" t="s">
        <v>246</v>
      </c>
      <c r="F26" s="20">
        <v>410204300</v>
      </c>
      <c r="G26" s="21" t="s">
        <v>28</v>
      </c>
      <c r="H26" s="22" t="s">
        <v>182</v>
      </c>
      <c r="I26" s="23">
        <v>150</v>
      </c>
      <c r="J26" s="23">
        <v>38</v>
      </c>
      <c r="K26" s="24">
        <v>202500000048251</v>
      </c>
      <c r="L26" s="24" t="s">
        <v>108</v>
      </c>
      <c r="M26" s="18" t="s">
        <v>183</v>
      </c>
      <c r="N26" s="6">
        <v>0</v>
      </c>
      <c r="O26" s="6">
        <v>0</v>
      </c>
      <c r="P26" s="6">
        <v>0</v>
      </c>
      <c r="Q26" s="6">
        <v>0</v>
      </c>
      <c r="R26" s="6">
        <v>0</v>
      </c>
      <c r="S26" s="6">
        <v>0</v>
      </c>
      <c r="T26" s="6">
        <v>0</v>
      </c>
      <c r="U26" s="6">
        <v>27720000</v>
      </c>
      <c r="V26" s="6">
        <v>0</v>
      </c>
      <c r="W26" s="6">
        <v>0</v>
      </c>
      <c r="X26" s="6">
        <v>0</v>
      </c>
      <c r="Y26" s="6">
        <v>0</v>
      </c>
      <c r="Z26" s="6">
        <v>0</v>
      </c>
      <c r="AA26" s="6">
        <v>0</v>
      </c>
      <c r="AB26" s="25">
        <f t="shared" si="1"/>
        <v>27720000</v>
      </c>
    </row>
    <row r="27" spans="1:28" s="18" customFormat="1" ht="60" x14ac:dyDescent="0.25">
      <c r="A27" s="18" t="s">
        <v>67</v>
      </c>
      <c r="B27" s="18" t="s">
        <v>72</v>
      </c>
      <c r="C27" s="19">
        <v>4103</v>
      </c>
      <c r="D27" s="18" t="s">
        <v>317</v>
      </c>
      <c r="E27" s="19">
        <v>4103031</v>
      </c>
      <c r="F27" s="20">
        <v>410303100</v>
      </c>
      <c r="G27" s="21" t="s">
        <v>318</v>
      </c>
      <c r="H27" s="22" t="s">
        <v>319</v>
      </c>
      <c r="I27" s="23">
        <v>1</v>
      </c>
      <c r="J27" s="23">
        <v>1</v>
      </c>
      <c r="K27" s="24">
        <v>202600000006625</v>
      </c>
      <c r="L27" s="24" t="s">
        <v>106</v>
      </c>
      <c r="M27" s="18" t="s">
        <v>319</v>
      </c>
      <c r="N27" s="6">
        <v>32106043</v>
      </c>
      <c r="O27" s="6">
        <v>0</v>
      </c>
      <c r="P27" s="6">
        <v>0</v>
      </c>
      <c r="Q27" s="6">
        <v>0</v>
      </c>
      <c r="R27" s="6">
        <v>0</v>
      </c>
      <c r="S27" s="6">
        <v>0</v>
      </c>
      <c r="T27" s="6">
        <v>0</v>
      </c>
      <c r="U27" s="6">
        <v>0</v>
      </c>
      <c r="V27" s="6">
        <v>0</v>
      </c>
      <c r="W27" s="6">
        <v>0</v>
      </c>
      <c r="X27" s="6">
        <v>0</v>
      </c>
      <c r="Y27" s="6">
        <v>0</v>
      </c>
      <c r="Z27" s="6">
        <v>0</v>
      </c>
      <c r="AA27" s="6">
        <v>0</v>
      </c>
      <c r="AB27" s="25">
        <f t="shared" ref="AB27" si="4">SUM(N27:AA27)</f>
        <v>32106043</v>
      </c>
    </row>
    <row r="28" spans="1:28" s="18" customFormat="1" ht="75" x14ac:dyDescent="0.25">
      <c r="A28" s="18" t="s">
        <v>67</v>
      </c>
      <c r="B28" s="18" t="s">
        <v>72</v>
      </c>
      <c r="C28" s="19">
        <v>4104</v>
      </c>
      <c r="D28" s="18" t="s">
        <v>75</v>
      </c>
      <c r="E28" s="19" t="s">
        <v>247</v>
      </c>
      <c r="F28" s="20">
        <v>410400800</v>
      </c>
      <c r="G28" s="21" t="s">
        <v>138</v>
      </c>
      <c r="H28" s="22" t="s">
        <v>29</v>
      </c>
      <c r="I28" s="23">
        <v>450</v>
      </c>
      <c r="J28" s="23">
        <v>113</v>
      </c>
      <c r="K28" s="24">
        <v>202500000048290</v>
      </c>
      <c r="L28" s="24" t="s">
        <v>105</v>
      </c>
      <c r="M28" s="18" t="s">
        <v>226</v>
      </c>
      <c r="N28" s="6">
        <v>783079677.45000005</v>
      </c>
      <c r="O28" s="6">
        <v>0</v>
      </c>
      <c r="P28" s="6">
        <v>0</v>
      </c>
      <c r="Q28" s="6">
        <v>0</v>
      </c>
      <c r="R28" s="6">
        <v>0</v>
      </c>
      <c r="S28" s="6">
        <v>0</v>
      </c>
      <c r="T28" s="6">
        <v>0</v>
      </c>
      <c r="U28" s="6">
        <v>0</v>
      </c>
      <c r="V28" s="6">
        <v>0</v>
      </c>
      <c r="W28" s="6">
        <v>0</v>
      </c>
      <c r="X28" s="6">
        <v>6480091</v>
      </c>
      <c r="Y28" s="6">
        <v>0</v>
      </c>
      <c r="Z28" s="6">
        <v>0</v>
      </c>
      <c r="AA28" s="6">
        <v>0</v>
      </c>
      <c r="AB28" s="25">
        <f t="shared" si="1"/>
        <v>789559768.45000005</v>
      </c>
    </row>
    <row r="29" spans="1:28" s="18" customFormat="1" ht="75" x14ac:dyDescent="0.25">
      <c r="A29" s="18" t="s">
        <v>67</v>
      </c>
      <c r="B29" s="18" t="s">
        <v>72</v>
      </c>
      <c r="C29" s="19">
        <v>4104</v>
      </c>
      <c r="D29" s="18" t="s">
        <v>75</v>
      </c>
      <c r="E29" s="19" t="s">
        <v>248</v>
      </c>
      <c r="F29" s="20">
        <v>410401200</v>
      </c>
      <c r="G29" s="21" t="s">
        <v>30</v>
      </c>
      <c r="H29" s="22" t="s">
        <v>30</v>
      </c>
      <c r="I29" s="23">
        <v>2</v>
      </c>
      <c r="J29" s="23">
        <v>1</v>
      </c>
      <c r="K29" s="24">
        <v>202500000048277</v>
      </c>
      <c r="L29" s="24" t="s">
        <v>105</v>
      </c>
      <c r="M29" s="18" t="s">
        <v>227</v>
      </c>
      <c r="N29" s="6">
        <v>265606561</v>
      </c>
      <c r="O29" s="6">
        <v>0</v>
      </c>
      <c r="P29" s="6">
        <v>0</v>
      </c>
      <c r="Q29" s="6">
        <v>0</v>
      </c>
      <c r="R29" s="6">
        <v>0</v>
      </c>
      <c r="S29" s="6">
        <v>0</v>
      </c>
      <c r="T29" s="6">
        <v>0</v>
      </c>
      <c r="U29" s="6">
        <v>0</v>
      </c>
      <c r="V29" s="6">
        <v>0</v>
      </c>
      <c r="W29" s="6">
        <v>0</v>
      </c>
      <c r="X29" s="6">
        <v>0</v>
      </c>
      <c r="Y29" s="6">
        <v>0</v>
      </c>
      <c r="Z29" s="6">
        <v>0</v>
      </c>
      <c r="AA29" s="6">
        <v>0</v>
      </c>
      <c r="AB29" s="25">
        <f t="shared" si="1"/>
        <v>265606561</v>
      </c>
    </row>
    <row r="30" spans="1:28" s="18" customFormat="1" ht="75" x14ac:dyDescent="0.25">
      <c r="A30" s="18" t="s">
        <v>67</v>
      </c>
      <c r="B30" s="18" t="s">
        <v>72</v>
      </c>
      <c r="C30" s="19">
        <v>4104</v>
      </c>
      <c r="D30" s="18" t="s">
        <v>75</v>
      </c>
      <c r="E30" s="19" t="s">
        <v>249</v>
      </c>
      <c r="F30" s="20">
        <v>410402000</v>
      </c>
      <c r="G30" s="21" t="s">
        <v>139</v>
      </c>
      <c r="H30" s="22" t="s">
        <v>31</v>
      </c>
      <c r="I30" s="23">
        <v>50</v>
      </c>
      <c r="J30" s="23">
        <v>13</v>
      </c>
      <c r="K30" s="24">
        <v>202500000048309</v>
      </c>
      <c r="L30" s="24" t="s">
        <v>105</v>
      </c>
      <c r="M30" s="18" t="s">
        <v>228</v>
      </c>
      <c r="N30" s="6">
        <v>0</v>
      </c>
      <c r="O30" s="6">
        <v>0</v>
      </c>
      <c r="P30" s="6">
        <v>0</v>
      </c>
      <c r="Q30" s="6">
        <v>0</v>
      </c>
      <c r="R30" s="6">
        <v>0</v>
      </c>
      <c r="S30" s="6">
        <v>0</v>
      </c>
      <c r="T30" s="6">
        <v>27720000</v>
      </c>
      <c r="U30" s="6">
        <v>0</v>
      </c>
      <c r="V30" s="6">
        <v>0</v>
      </c>
      <c r="W30" s="6">
        <v>0</v>
      </c>
      <c r="X30" s="6">
        <v>0</v>
      </c>
      <c r="Y30" s="6">
        <v>0</v>
      </c>
      <c r="Z30" s="6">
        <v>0</v>
      </c>
      <c r="AA30" s="6">
        <v>0</v>
      </c>
      <c r="AB30" s="25">
        <f t="shared" si="1"/>
        <v>27720000</v>
      </c>
    </row>
    <row r="31" spans="1:28" s="18" customFormat="1" ht="45" x14ac:dyDescent="0.25">
      <c r="A31" s="18" t="s">
        <v>67</v>
      </c>
      <c r="B31" s="18" t="s">
        <v>76</v>
      </c>
      <c r="C31" s="19">
        <v>4001</v>
      </c>
      <c r="D31" s="18" t="s">
        <v>77</v>
      </c>
      <c r="E31" s="19">
        <v>4001039</v>
      </c>
      <c r="F31" s="20">
        <v>400103900</v>
      </c>
      <c r="G31" s="21" t="s">
        <v>299</v>
      </c>
      <c r="H31" s="22" t="s">
        <v>300</v>
      </c>
      <c r="I31" s="23">
        <v>100</v>
      </c>
      <c r="J31" s="23">
        <v>60</v>
      </c>
      <c r="K31" s="7">
        <v>202500000048025</v>
      </c>
      <c r="L31" s="12" t="s">
        <v>110</v>
      </c>
      <c r="M31" s="18" t="s">
        <v>197</v>
      </c>
      <c r="N31" s="6">
        <v>287046858.13</v>
      </c>
      <c r="O31" s="6">
        <v>0</v>
      </c>
      <c r="P31" s="6">
        <v>0</v>
      </c>
      <c r="Q31" s="6">
        <v>0</v>
      </c>
      <c r="R31" s="6">
        <v>0</v>
      </c>
      <c r="S31" s="6">
        <v>0</v>
      </c>
      <c r="T31" s="6">
        <v>479995039.98000002</v>
      </c>
      <c r="U31" s="6">
        <v>454065302</v>
      </c>
      <c r="V31" s="6">
        <v>0</v>
      </c>
      <c r="W31" s="6">
        <v>0</v>
      </c>
      <c r="X31" s="6">
        <v>0</v>
      </c>
      <c r="Y31" s="6">
        <v>0</v>
      </c>
      <c r="Z31" s="6">
        <v>0</v>
      </c>
      <c r="AA31" s="6">
        <v>0</v>
      </c>
      <c r="AB31" s="25">
        <f t="shared" si="1"/>
        <v>1221107200.1100001</v>
      </c>
    </row>
    <row r="32" spans="1:28" s="18" customFormat="1" ht="45" x14ac:dyDescent="0.25">
      <c r="A32" s="18" t="s">
        <v>67</v>
      </c>
      <c r="B32" s="18" t="s">
        <v>76</v>
      </c>
      <c r="C32" s="19">
        <v>4001</v>
      </c>
      <c r="D32" s="18" t="s">
        <v>77</v>
      </c>
      <c r="E32" s="19" t="s">
        <v>250</v>
      </c>
      <c r="F32" s="20">
        <v>400104400</v>
      </c>
      <c r="G32" s="21" t="s">
        <v>140</v>
      </c>
      <c r="H32" s="22" t="s">
        <v>32</v>
      </c>
      <c r="I32" s="23">
        <v>100</v>
      </c>
      <c r="J32" s="23">
        <v>50</v>
      </c>
      <c r="K32" s="7">
        <v>202500000048004</v>
      </c>
      <c r="L32" s="12" t="s">
        <v>110</v>
      </c>
      <c r="M32" s="18" t="s">
        <v>196</v>
      </c>
      <c r="N32" s="6">
        <v>0</v>
      </c>
      <c r="O32" s="6">
        <v>0</v>
      </c>
      <c r="P32" s="6">
        <v>0</v>
      </c>
      <c r="Q32" s="6">
        <v>0</v>
      </c>
      <c r="R32" s="6">
        <v>0</v>
      </c>
      <c r="S32" s="6">
        <v>0</v>
      </c>
      <c r="T32" s="6">
        <v>0</v>
      </c>
      <c r="U32" s="6">
        <v>359551141.88</v>
      </c>
      <c r="V32" s="6">
        <v>0</v>
      </c>
      <c r="W32" s="6">
        <v>0</v>
      </c>
      <c r="X32" s="6">
        <v>0</v>
      </c>
      <c r="Y32" s="6">
        <v>0</v>
      </c>
      <c r="Z32" s="6">
        <v>0</v>
      </c>
      <c r="AA32" s="6">
        <v>0</v>
      </c>
      <c r="AB32" s="25">
        <f t="shared" si="1"/>
        <v>359551141.88</v>
      </c>
    </row>
    <row r="33" spans="1:28" s="18" customFormat="1" ht="45" x14ac:dyDescent="0.25">
      <c r="A33" s="18" t="s">
        <v>67</v>
      </c>
      <c r="B33" s="18" t="s">
        <v>76</v>
      </c>
      <c r="C33" s="19">
        <v>4001</v>
      </c>
      <c r="D33" s="18" t="s">
        <v>77</v>
      </c>
      <c r="E33" s="20">
        <v>4001042</v>
      </c>
      <c r="F33" s="20">
        <v>400104200</v>
      </c>
      <c r="G33" s="21" t="s">
        <v>314</v>
      </c>
      <c r="H33" s="22" t="s">
        <v>315</v>
      </c>
      <c r="I33" s="23">
        <v>100</v>
      </c>
      <c r="J33" s="23">
        <v>50</v>
      </c>
      <c r="K33" s="7">
        <v>202600000012594</v>
      </c>
      <c r="L33" s="12" t="s">
        <v>110</v>
      </c>
      <c r="M33" s="18" t="s">
        <v>316</v>
      </c>
      <c r="N33" s="6">
        <v>289101814.25</v>
      </c>
      <c r="O33" s="6">
        <v>0</v>
      </c>
      <c r="P33" s="6">
        <v>0</v>
      </c>
      <c r="Q33" s="6">
        <v>0</v>
      </c>
      <c r="R33" s="6">
        <v>0</v>
      </c>
      <c r="S33" s="6">
        <v>0</v>
      </c>
      <c r="T33" s="6">
        <v>0</v>
      </c>
      <c r="U33" s="6">
        <v>200000000</v>
      </c>
      <c r="V33" s="6">
        <v>0</v>
      </c>
      <c r="W33" s="6">
        <v>0</v>
      </c>
      <c r="X33" s="6">
        <v>0</v>
      </c>
      <c r="Y33" s="6">
        <v>0</v>
      </c>
      <c r="Z33" s="6">
        <v>0</v>
      </c>
      <c r="AA33" s="6">
        <v>0</v>
      </c>
      <c r="AB33" s="25">
        <f t="shared" ref="AB33:AB34" si="5">SUM(N33:AA33)</f>
        <v>489101814.25</v>
      </c>
    </row>
    <row r="34" spans="1:28" s="18" customFormat="1" ht="45" x14ac:dyDescent="0.25">
      <c r="A34" s="18" t="s">
        <v>67</v>
      </c>
      <c r="B34" s="18" t="s">
        <v>76</v>
      </c>
      <c r="C34" s="19">
        <v>4001</v>
      </c>
      <c r="D34" s="18" t="s">
        <v>77</v>
      </c>
      <c r="E34" s="20">
        <v>4001041</v>
      </c>
      <c r="F34" s="20">
        <v>400104100</v>
      </c>
      <c r="G34" s="21" t="s">
        <v>320</v>
      </c>
      <c r="H34" s="22" t="s">
        <v>321</v>
      </c>
      <c r="I34" s="23">
        <v>100</v>
      </c>
      <c r="J34" s="23">
        <v>50</v>
      </c>
      <c r="K34" s="7">
        <v>202600000011039</v>
      </c>
      <c r="L34" s="12" t="s">
        <v>110</v>
      </c>
      <c r="M34" s="18" t="s">
        <v>322</v>
      </c>
      <c r="N34" s="6">
        <v>0</v>
      </c>
      <c r="O34" s="6">
        <v>0</v>
      </c>
      <c r="P34" s="6">
        <v>0</v>
      </c>
      <c r="Q34" s="6">
        <v>0</v>
      </c>
      <c r="R34" s="6">
        <v>0</v>
      </c>
      <c r="S34" s="6">
        <v>0</v>
      </c>
      <c r="T34" s="6">
        <v>0</v>
      </c>
      <c r="U34" s="6">
        <v>246759973</v>
      </c>
      <c r="V34" s="6">
        <v>0</v>
      </c>
      <c r="W34" s="6">
        <v>0</v>
      </c>
      <c r="X34" s="6">
        <v>0</v>
      </c>
      <c r="Y34" s="6">
        <v>0</v>
      </c>
      <c r="Z34" s="6">
        <v>0</v>
      </c>
      <c r="AA34" s="6">
        <v>0</v>
      </c>
      <c r="AB34" s="25">
        <f t="shared" si="5"/>
        <v>246759973</v>
      </c>
    </row>
    <row r="35" spans="1:28" s="18" customFormat="1" ht="45" x14ac:dyDescent="0.25">
      <c r="A35" s="18" t="s">
        <v>67</v>
      </c>
      <c r="B35" s="18" t="s">
        <v>76</v>
      </c>
      <c r="C35" s="19">
        <v>4003</v>
      </c>
      <c r="D35" s="18" t="s">
        <v>78</v>
      </c>
      <c r="E35" s="19" t="s">
        <v>251</v>
      </c>
      <c r="F35" s="20">
        <v>400301700</v>
      </c>
      <c r="G35" s="21" t="s">
        <v>141</v>
      </c>
      <c r="H35" s="22" t="s">
        <v>33</v>
      </c>
      <c r="I35" s="23">
        <v>10</v>
      </c>
      <c r="J35" s="23">
        <v>3</v>
      </c>
      <c r="K35" s="7">
        <v>202500000048067</v>
      </c>
      <c r="L35" s="12" t="s">
        <v>110</v>
      </c>
      <c r="M35" s="18" t="s">
        <v>198</v>
      </c>
      <c r="N35" s="6">
        <v>84377489.599999994</v>
      </c>
      <c r="O35" s="6">
        <v>0</v>
      </c>
      <c r="P35" s="6">
        <v>844862801</v>
      </c>
      <c r="Q35" s="6">
        <v>0</v>
      </c>
      <c r="R35" s="6">
        <v>0</v>
      </c>
      <c r="S35" s="6">
        <v>0</v>
      </c>
      <c r="T35" s="6">
        <v>271084048</v>
      </c>
      <c r="U35" s="6">
        <v>0</v>
      </c>
      <c r="V35" s="6">
        <v>0</v>
      </c>
      <c r="W35" s="6">
        <v>0</v>
      </c>
      <c r="X35" s="6">
        <v>0</v>
      </c>
      <c r="Y35" s="6">
        <v>0</v>
      </c>
      <c r="Z35" s="6">
        <v>0</v>
      </c>
      <c r="AA35" s="6">
        <v>0</v>
      </c>
      <c r="AB35" s="25">
        <f t="shared" ref="AB35:AB47" si="6">SUM(N35:AA35)</f>
        <v>1200324338.5999999</v>
      </c>
    </row>
    <row r="36" spans="1:28" s="18" customFormat="1" ht="45" x14ac:dyDescent="0.25">
      <c r="A36" s="18" t="s">
        <v>67</v>
      </c>
      <c r="B36" s="18" t="s">
        <v>76</v>
      </c>
      <c r="C36" s="19">
        <v>4003</v>
      </c>
      <c r="D36" s="18" t="s">
        <v>78</v>
      </c>
      <c r="E36" s="19" t="s">
        <v>252</v>
      </c>
      <c r="F36" s="20">
        <v>400301900</v>
      </c>
      <c r="G36" s="21" t="s">
        <v>142</v>
      </c>
      <c r="H36" s="22" t="s">
        <v>34</v>
      </c>
      <c r="I36" s="23">
        <v>1</v>
      </c>
      <c r="J36" s="23">
        <v>1</v>
      </c>
      <c r="K36" s="7">
        <v>202500000048118</v>
      </c>
      <c r="L36" s="12" t="s">
        <v>110</v>
      </c>
      <c r="M36" s="18" t="s">
        <v>199</v>
      </c>
      <c r="N36" s="6">
        <v>130000000</v>
      </c>
      <c r="O36" s="6">
        <v>0</v>
      </c>
      <c r="P36" s="6">
        <v>0</v>
      </c>
      <c r="Q36" s="6">
        <v>0</v>
      </c>
      <c r="R36" s="6">
        <v>0</v>
      </c>
      <c r="S36" s="6">
        <v>0</v>
      </c>
      <c r="T36" s="6">
        <v>0</v>
      </c>
      <c r="U36" s="6">
        <v>0</v>
      </c>
      <c r="V36" s="6">
        <v>0</v>
      </c>
      <c r="W36" s="6">
        <v>0</v>
      </c>
      <c r="X36" s="6">
        <v>0</v>
      </c>
      <c r="Y36" s="6">
        <v>0</v>
      </c>
      <c r="Z36" s="6">
        <v>0</v>
      </c>
      <c r="AA36" s="6">
        <v>0</v>
      </c>
      <c r="AB36" s="25">
        <f t="shared" si="6"/>
        <v>130000000</v>
      </c>
    </row>
    <row r="37" spans="1:28" s="18" customFormat="1" ht="45" x14ac:dyDescent="0.25">
      <c r="A37" s="18" t="s">
        <v>67</v>
      </c>
      <c r="B37" s="18" t="s">
        <v>76</v>
      </c>
      <c r="C37" s="19">
        <v>4003</v>
      </c>
      <c r="D37" s="18" t="s">
        <v>78</v>
      </c>
      <c r="E37" s="19">
        <v>4003020</v>
      </c>
      <c r="F37" s="20">
        <v>400302000</v>
      </c>
      <c r="G37" s="21" t="s">
        <v>304</v>
      </c>
      <c r="H37" s="22" t="s">
        <v>305</v>
      </c>
      <c r="I37" s="23">
        <v>1</v>
      </c>
      <c r="J37" s="23">
        <v>1</v>
      </c>
      <c r="K37" s="7">
        <v>202500000048094</v>
      </c>
      <c r="L37" s="12" t="s">
        <v>110</v>
      </c>
      <c r="M37" s="18" t="s">
        <v>306</v>
      </c>
      <c r="N37" s="6">
        <v>0</v>
      </c>
      <c r="O37" s="6">
        <v>0</v>
      </c>
      <c r="P37" s="6">
        <v>836704346.84000003</v>
      </c>
      <c r="Q37" s="6">
        <v>0</v>
      </c>
      <c r="R37" s="6">
        <v>0</v>
      </c>
      <c r="S37" s="6">
        <v>0</v>
      </c>
      <c r="T37" s="6">
        <v>271286794</v>
      </c>
      <c r="U37" s="6">
        <v>0</v>
      </c>
      <c r="V37" s="6">
        <v>0</v>
      </c>
      <c r="W37" s="6">
        <v>0</v>
      </c>
      <c r="X37" s="6">
        <v>0</v>
      </c>
      <c r="Y37" s="6">
        <v>0</v>
      </c>
      <c r="Z37" s="6">
        <v>0</v>
      </c>
      <c r="AA37" s="6">
        <v>0</v>
      </c>
      <c r="AB37" s="25">
        <f t="shared" ref="AB37" si="7">SUM(N37:AA37)</f>
        <v>1107991140.8400002</v>
      </c>
    </row>
    <row r="38" spans="1:28" s="18" customFormat="1" ht="45" x14ac:dyDescent="0.25">
      <c r="A38" s="18" t="s">
        <v>67</v>
      </c>
      <c r="B38" s="18" t="s">
        <v>76</v>
      </c>
      <c r="C38" s="19"/>
      <c r="D38" s="18" t="s">
        <v>78</v>
      </c>
      <c r="E38" s="19" t="s">
        <v>302</v>
      </c>
      <c r="F38" s="20">
        <v>400301600</v>
      </c>
      <c r="G38" s="21" t="s">
        <v>301</v>
      </c>
      <c r="H38" s="22" t="s">
        <v>301</v>
      </c>
      <c r="I38" s="23">
        <v>1</v>
      </c>
      <c r="J38" s="23">
        <v>1</v>
      </c>
      <c r="K38" s="7">
        <v>202500000048135</v>
      </c>
      <c r="L38" s="12" t="s">
        <v>110</v>
      </c>
      <c r="M38" s="18" t="s">
        <v>303</v>
      </c>
      <c r="N38" s="6">
        <v>0</v>
      </c>
      <c r="O38" s="6">
        <v>0</v>
      </c>
      <c r="P38" s="6">
        <v>0</v>
      </c>
      <c r="Q38" s="6">
        <v>0</v>
      </c>
      <c r="R38" s="6">
        <v>0</v>
      </c>
      <c r="S38" s="6">
        <v>0</v>
      </c>
      <c r="T38" s="6">
        <v>0</v>
      </c>
      <c r="U38" s="6">
        <v>0</v>
      </c>
      <c r="V38" s="6">
        <v>0</v>
      </c>
      <c r="W38" s="6">
        <v>0</v>
      </c>
      <c r="X38" s="6">
        <v>0</v>
      </c>
      <c r="Y38" s="6">
        <v>0</v>
      </c>
      <c r="Z38" s="6">
        <v>0</v>
      </c>
      <c r="AA38" s="6">
        <v>0</v>
      </c>
      <c r="AB38" s="25">
        <f t="shared" ref="AB38" si="8">SUM(N38:AA38)</f>
        <v>0</v>
      </c>
    </row>
    <row r="39" spans="1:28" s="18" customFormat="1" ht="45" x14ac:dyDescent="0.25">
      <c r="A39" s="18" t="s">
        <v>67</v>
      </c>
      <c r="B39" s="18" t="s">
        <v>76</v>
      </c>
      <c r="C39" s="19"/>
      <c r="D39" s="18" t="s">
        <v>78</v>
      </c>
      <c r="E39" s="19">
        <v>4003025</v>
      </c>
      <c r="F39" s="20">
        <v>400302500</v>
      </c>
      <c r="G39" s="21" t="s">
        <v>307</v>
      </c>
      <c r="H39" s="22" t="s">
        <v>308</v>
      </c>
      <c r="I39" s="23">
        <v>1</v>
      </c>
      <c r="J39" s="23">
        <v>1</v>
      </c>
      <c r="K39" s="7">
        <v>202500000048185</v>
      </c>
      <c r="L39" s="12" t="s">
        <v>110</v>
      </c>
      <c r="M39" s="22" t="s">
        <v>308</v>
      </c>
      <c r="N39" s="6">
        <v>0</v>
      </c>
      <c r="O39" s="6">
        <v>0</v>
      </c>
      <c r="P39" s="6">
        <v>926911245</v>
      </c>
      <c r="Q39" s="6">
        <v>0</v>
      </c>
      <c r="R39" s="6">
        <v>0</v>
      </c>
      <c r="S39" s="6">
        <v>0</v>
      </c>
      <c r="T39" s="6">
        <v>0</v>
      </c>
      <c r="U39" s="6">
        <v>0</v>
      </c>
      <c r="V39" s="6">
        <v>0</v>
      </c>
      <c r="W39" s="6">
        <v>0</v>
      </c>
      <c r="X39" s="6">
        <v>0</v>
      </c>
      <c r="Y39" s="6">
        <v>0</v>
      </c>
      <c r="Z39" s="6">
        <v>0</v>
      </c>
      <c r="AA39" s="6">
        <v>0</v>
      </c>
      <c r="AB39" s="25">
        <f t="shared" ref="AB39" si="9">SUM(N39:AA39)</f>
        <v>926911245</v>
      </c>
    </row>
    <row r="40" spans="1:28" s="18" customFormat="1" ht="45" x14ac:dyDescent="0.25">
      <c r="A40" s="18" t="s">
        <v>67</v>
      </c>
      <c r="B40" s="18" t="s">
        <v>76</v>
      </c>
      <c r="C40" s="19">
        <v>4003</v>
      </c>
      <c r="D40" s="18" t="s">
        <v>78</v>
      </c>
      <c r="E40" s="19" t="s">
        <v>253</v>
      </c>
      <c r="F40" s="20">
        <v>400304700</v>
      </c>
      <c r="G40" s="21" t="s">
        <v>143</v>
      </c>
      <c r="H40" s="22" t="s">
        <v>35</v>
      </c>
      <c r="I40" s="23">
        <v>7000</v>
      </c>
      <c r="J40" s="23">
        <v>1800</v>
      </c>
      <c r="K40" s="7">
        <v>202500000048180</v>
      </c>
      <c r="L40" s="12" t="s">
        <v>110</v>
      </c>
      <c r="M40" s="18" t="s">
        <v>200</v>
      </c>
      <c r="N40" s="6">
        <v>0</v>
      </c>
      <c r="O40" s="6">
        <v>0</v>
      </c>
      <c r="P40" s="6">
        <v>866511812</v>
      </c>
      <c r="Q40" s="6">
        <v>0</v>
      </c>
      <c r="R40" s="6">
        <v>0</v>
      </c>
      <c r="S40" s="6">
        <v>0</v>
      </c>
      <c r="T40" s="6">
        <v>0</v>
      </c>
      <c r="U40" s="6">
        <v>0</v>
      </c>
      <c r="V40" s="6">
        <v>0</v>
      </c>
      <c r="W40" s="6">
        <v>0</v>
      </c>
      <c r="X40" s="6">
        <v>0</v>
      </c>
      <c r="Y40" s="6">
        <v>0</v>
      </c>
      <c r="Z40" s="6">
        <v>0</v>
      </c>
      <c r="AA40" s="6">
        <v>0</v>
      </c>
      <c r="AB40" s="25">
        <f t="shared" si="6"/>
        <v>866511812</v>
      </c>
    </row>
    <row r="41" spans="1:28" s="18" customFormat="1" ht="60" x14ac:dyDescent="0.25">
      <c r="A41" s="18" t="s">
        <v>68</v>
      </c>
      <c r="B41" s="18" t="s">
        <v>79</v>
      </c>
      <c r="C41" s="19">
        <v>3201</v>
      </c>
      <c r="D41" s="18" t="s">
        <v>80</v>
      </c>
      <c r="E41" s="19" t="s">
        <v>254</v>
      </c>
      <c r="F41" s="20">
        <v>320100300</v>
      </c>
      <c r="G41" s="21" t="s">
        <v>163</v>
      </c>
      <c r="H41" s="22" t="s">
        <v>36</v>
      </c>
      <c r="I41" s="23">
        <v>10</v>
      </c>
      <c r="J41" s="23">
        <v>10</v>
      </c>
      <c r="K41" s="24">
        <v>202500000047779</v>
      </c>
      <c r="L41" s="24" t="s">
        <v>109</v>
      </c>
      <c r="M41" s="18" t="s">
        <v>164</v>
      </c>
      <c r="N41" s="6">
        <v>20000000</v>
      </c>
      <c r="O41" s="6">
        <v>0</v>
      </c>
      <c r="P41" s="6">
        <v>0</v>
      </c>
      <c r="Q41" s="6">
        <v>0</v>
      </c>
      <c r="R41" s="6">
        <v>0</v>
      </c>
      <c r="S41" s="6">
        <v>0</v>
      </c>
      <c r="T41" s="6">
        <v>0</v>
      </c>
      <c r="U41" s="6">
        <v>0</v>
      </c>
      <c r="V41" s="6">
        <v>0</v>
      </c>
      <c r="W41" s="6">
        <v>0</v>
      </c>
      <c r="X41" s="6">
        <v>0</v>
      </c>
      <c r="Y41" s="6">
        <v>0</v>
      </c>
      <c r="Z41" s="6">
        <v>0</v>
      </c>
      <c r="AA41" s="6">
        <v>0</v>
      </c>
      <c r="AB41" s="25">
        <f t="shared" si="6"/>
        <v>20000000</v>
      </c>
    </row>
    <row r="42" spans="1:28" s="18" customFormat="1" ht="45" x14ac:dyDescent="0.25">
      <c r="A42" s="18" t="s">
        <v>68</v>
      </c>
      <c r="B42" s="18" t="s">
        <v>79</v>
      </c>
      <c r="C42" s="19">
        <v>3202</v>
      </c>
      <c r="D42" s="18" t="s">
        <v>81</v>
      </c>
      <c r="E42" s="19" t="s">
        <v>255</v>
      </c>
      <c r="F42" s="20">
        <v>320200400</v>
      </c>
      <c r="G42" s="21" t="s">
        <v>144</v>
      </c>
      <c r="H42" s="22" t="s">
        <v>165</v>
      </c>
      <c r="I42" s="23">
        <v>1</v>
      </c>
      <c r="J42" s="23">
        <v>1</v>
      </c>
      <c r="K42" s="24">
        <v>202500000047730</v>
      </c>
      <c r="L42" s="24" t="s">
        <v>109</v>
      </c>
      <c r="M42" s="18" t="s">
        <v>166</v>
      </c>
      <c r="N42" s="6">
        <v>0</v>
      </c>
      <c r="O42" s="6">
        <v>0</v>
      </c>
      <c r="P42" s="6">
        <v>0</v>
      </c>
      <c r="Q42" s="6">
        <v>0</v>
      </c>
      <c r="R42" s="6">
        <v>0</v>
      </c>
      <c r="S42" s="6">
        <v>0</v>
      </c>
      <c r="T42" s="6">
        <v>0</v>
      </c>
      <c r="U42" s="6">
        <v>42000000</v>
      </c>
      <c r="V42" s="6">
        <v>0</v>
      </c>
      <c r="W42" s="6">
        <v>0</v>
      </c>
      <c r="X42" s="6">
        <v>0</v>
      </c>
      <c r="Y42" s="6">
        <v>0</v>
      </c>
      <c r="Z42" s="6">
        <v>0</v>
      </c>
      <c r="AA42" s="6">
        <v>0</v>
      </c>
      <c r="AB42" s="25">
        <f t="shared" si="6"/>
        <v>42000000</v>
      </c>
    </row>
    <row r="43" spans="1:28" s="18" customFormat="1" ht="45" x14ac:dyDescent="0.25">
      <c r="A43" s="18" t="s">
        <v>68</v>
      </c>
      <c r="B43" s="18" t="s">
        <v>79</v>
      </c>
      <c r="C43" s="19">
        <v>3202</v>
      </c>
      <c r="D43" s="18" t="s">
        <v>81</v>
      </c>
      <c r="E43" s="19" t="s">
        <v>256</v>
      </c>
      <c r="F43" s="20">
        <v>320204100</v>
      </c>
      <c r="G43" s="21" t="s">
        <v>145</v>
      </c>
      <c r="H43" s="22" t="s">
        <v>37</v>
      </c>
      <c r="I43" s="23">
        <v>10000</v>
      </c>
      <c r="J43" s="23">
        <v>2500</v>
      </c>
      <c r="K43" s="24">
        <v>202500000047751</v>
      </c>
      <c r="L43" s="24" t="s">
        <v>109</v>
      </c>
      <c r="M43" s="18" t="s">
        <v>167</v>
      </c>
      <c r="N43" s="6">
        <v>0</v>
      </c>
      <c r="O43" s="6">
        <v>0</v>
      </c>
      <c r="P43" s="6">
        <v>0</v>
      </c>
      <c r="Q43" s="6">
        <v>0</v>
      </c>
      <c r="R43" s="6">
        <v>0</v>
      </c>
      <c r="S43" s="6">
        <v>0</v>
      </c>
      <c r="T43" s="6">
        <v>0</v>
      </c>
      <c r="U43" s="6">
        <v>80000000</v>
      </c>
      <c r="V43" s="6">
        <v>0</v>
      </c>
      <c r="W43" s="6">
        <v>0</v>
      </c>
      <c r="X43" s="6">
        <v>0</v>
      </c>
      <c r="Y43" s="6">
        <v>0</v>
      </c>
      <c r="Z43" s="6">
        <v>0</v>
      </c>
      <c r="AA43" s="6">
        <v>0</v>
      </c>
      <c r="AB43" s="25">
        <f t="shared" si="6"/>
        <v>80000000</v>
      </c>
    </row>
    <row r="44" spans="1:28" s="18" customFormat="1" ht="45" x14ac:dyDescent="0.25">
      <c r="A44" s="18" t="s">
        <v>68</v>
      </c>
      <c r="B44" s="18" t="s">
        <v>79</v>
      </c>
      <c r="C44" s="19">
        <v>3203</v>
      </c>
      <c r="D44" s="18" t="s">
        <v>82</v>
      </c>
      <c r="E44" s="19" t="s">
        <v>257</v>
      </c>
      <c r="F44" s="20">
        <v>320305000</v>
      </c>
      <c r="G44" s="21" t="s">
        <v>146</v>
      </c>
      <c r="H44" s="22" t="s">
        <v>38</v>
      </c>
      <c r="I44" s="23">
        <v>100</v>
      </c>
      <c r="J44" s="23">
        <v>100</v>
      </c>
      <c r="K44" s="24">
        <v>202500000047795</v>
      </c>
      <c r="L44" s="24" t="s">
        <v>109</v>
      </c>
      <c r="M44" s="18" t="s">
        <v>298</v>
      </c>
      <c r="N44" s="6">
        <v>222914843</v>
      </c>
      <c r="O44" s="6">
        <v>0</v>
      </c>
      <c r="P44" s="6">
        <v>0</v>
      </c>
      <c r="Q44" s="6">
        <v>0</v>
      </c>
      <c r="R44" s="6">
        <v>0</v>
      </c>
      <c r="S44" s="6">
        <v>0</v>
      </c>
      <c r="T44" s="6">
        <v>13808405</v>
      </c>
      <c r="U44" s="6">
        <v>40000000</v>
      </c>
      <c r="V44" s="6">
        <v>0</v>
      </c>
      <c r="W44" s="6">
        <v>0</v>
      </c>
      <c r="X44" s="6">
        <v>0</v>
      </c>
      <c r="Y44" s="6">
        <v>0</v>
      </c>
      <c r="Z44" s="6">
        <v>0</v>
      </c>
      <c r="AA44" s="6">
        <v>0</v>
      </c>
      <c r="AB44" s="25">
        <f t="shared" si="6"/>
        <v>276723248</v>
      </c>
    </row>
    <row r="45" spans="1:28" s="18" customFormat="1" ht="90" x14ac:dyDescent="0.25">
      <c r="A45" s="18" t="s">
        <v>68</v>
      </c>
      <c r="B45" s="18" t="s">
        <v>79</v>
      </c>
      <c r="C45" s="19">
        <v>3208</v>
      </c>
      <c r="D45" s="18" t="s">
        <v>83</v>
      </c>
      <c r="E45" s="19" t="s">
        <v>258</v>
      </c>
      <c r="F45" s="20">
        <v>320801000</v>
      </c>
      <c r="G45" s="21" t="s">
        <v>168</v>
      </c>
      <c r="H45" s="22" t="s">
        <v>39</v>
      </c>
      <c r="I45" s="23">
        <v>4000</v>
      </c>
      <c r="J45" s="23">
        <v>1333</v>
      </c>
      <c r="K45" s="24">
        <v>202500000047762</v>
      </c>
      <c r="L45" s="24" t="s">
        <v>109</v>
      </c>
      <c r="M45" s="18" t="s">
        <v>169</v>
      </c>
      <c r="N45" s="6">
        <v>0</v>
      </c>
      <c r="O45" s="6">
        <v>0</v>
      </c>
      <c r="P45" s="6">
        <v>0</v>
      </c>
      <c r="Q45" s="6">
        <v>0</v>
      </c>
      <c r="R45" s="6">
        <v>0</v>
      </c>
      <c r="S45" s="6">
        <v>0</v>
      </c>
      <c r="T45" s="6">
        <v>0</v>
      </c>
      <c r="U45" s="6">
        <f>170000000+50000000</f>
        <v>220000000</v>
      </c>
      <c r="V45" s="6">
        <v>0</v>
      </c>
      <c r="W45" s="6">
        <v>0</v>
      </c>
      <c r="X45" s="6">
        <v>0</v>
      </c>
      <c r="Y45" s="6">
        <v>0</v>
      </c>
      <c r="Z45" s="6">
        <v>0</v>
      </c>
      <c r="AA45" s="6">
        <v>1016990.55</v>
      </c>
      <c r="AB45" s="25">
        <f t="shared" si="6"/>
        <v>221016990.55000001</v>
      </c>
    </row>
    <row r="46" spans="1:28" s="18" customFormat="1" ht="30" x14ac:dyDescent="0.25">
      <c r="A46" s="18" t="s">
        <v>69</v>
      </c>
      <c r="B46" s="18" t="s">
        <v>84</v>
      </c>
      <c r="C46" s="19">
        <v>2102</v>
      </c>
      <c r="D46" s="18" t="s">
        <v>85</v>
      </c>
      <c r="E46" s="19" t="s">
        <v>259</v>
      </c>
      <c r="F46" s="20">
        <v>210201300</v>
      </c>
      <c r="G46" s="21" t="s">
        <v>147</v>
      </c>
      <c r="H46" s="22" t="s">
        <v>40</v>
      </c>
      <c r="I46" s="23">
        <v>2000</v>
      </c>
      <c r="J46" s="23">
        <f>+I46/4</f>
        <v>500</v>
      </c>
      <c r="K46" s="24">
        <v>202500000047493</v>
      </c>
      <c r="L46" s="24" t="s">
        <v>110</v>
      </c>
      <c r="M46" s="18" t="s">
        <v>201</v>
      </c>
      <c r="N46" s="6">
        <f>200000000+113138458.94</f>
        <v>313138458.94</v>
      </c>
      <c r="O46" s="6">
        <v>0</v>
      </c>
      <c r="P46" s="6">
        <v>0</v>
      </c>
      <c r="Q46" s="6">
        <v>0</v>
      </c>
      <c r="R46" s="6">
        <v>0</v>
      </c>
      <c r="S46" s="6">
        <v>0</v>
      </c>
      <c r="T46" s="6">
        <v>0</v>
      </c>
      <c r="U46" s="6">
        <v>0</v>
      </c>
      <c r="V46" s="6">
        <v>0</v>
      </c>
      <c r="W46" s="6">
        <v>0</v>
      </c>
      <c r="X46" s="6">
        <v>0</v>
      </c>
      <c r="Y46" s="6">
        <v>0</v>
      </c>
      <c r="Z46" s="6">
        <v>0</v>
      </c>
      <c r="AA46" s="6">
        <v>0</v>
      </c>
      <c r="AB46" s="25">
        <f t="shared" si="6"/>
        <v>313138458.94</v>
      </c>
    </row>
    <row r="47" spans="1:28" s="18" customFormat="1" ht="30" x14ac:dyDescent="0.25">
      <c r="A47" s="18" t="s">
        <v>69</v>
      </c>
      <c r="B47" s="18" t="s">
        <v>84</v>
      </c>
      <c r="C47" s="19">
        <v>2104</v>
      </c>
      <c r="D47" s="18" t="s">
        <v>86</v>
      </c>
      <c r="E47" s="19" t="s">
        <v>260</v>
      </c>
      <c r="F47" s="20">
        <v>210401002</v>
      </c>
      <c r="G47" s="21" t="s">
        <v>148</v>
      </c>
      <c r="H47" s="22" t="s">
        <v>41</v>
      </c>
      <c r="I47" s="23">
        <v>200</v>
      </c>
      <c r="J47" s="23">
        <v>50</v>
      </c>
      <c r="K47" s="24">
        <v>202500000047498</v>
      </c>
      <c r="L47" s="24" t="s">
        <v>109</v>
      </c>
      <c r="M47" s="18" t="s">
        <v>170</v>
      </c>
      <c r="N47" s="6">
        <v>20000000</v>
      </c>
      <c r="O47" s="6">
        <v>0</v>
      </c>
      <c r="P47" s="6">
        <v>0</v>
      </c>
      <c r="Q47" s="6">
        <v>0</v>
      </c>
      <c r="R47" s="6">
        <v>0</v>
      </c>
      <c r="S47" s="6">
        <v>0</v>
      </c>
      <c r="T47" s="6">
        <v>0</v>
      </c>
      <c r="U47" s="6">
        <v>20000000</v>
      </c>
      <c r="V47" s="6">
        <v>0</v>
      </c>
      <c r="W47" s="6">
        <v>0</v>
      </c>
      <c r="X47" s="6">
        <v>0</v>
      </c>
      <c r="Y47" s="6">
        <v>0</v>
      </c>
      <c r="Z47" s="6">
        <v>0</v>
      </c>
      <c r="AA47" s="6">
        <v>0</v>
      </c>
      <c r="AB47" s="25">
        <f t="shared" si="6"/>
        <v>40000000</v>
      </c>
    </row>
    <row r="48" spans="1:28" s="18" customFormat="1" ht="30" x14ac:dyDescent="0.25">
      <c r="A48" s="18" t="s">
        <v>69</v>
      </c>
      <c r="B48" s="18" t="s">
        <v>84</v>
      </c>
      <c r="C48" s="19">
        <v>2104</v>
      </c>
      <c r="D48" s="18" t="s">
        <v>86</v>
      </c>
      <c r="E48" s="19" t="s">
        <v>261</v>
      </c>
      <c r="F48" s="20">
        <v>210401800</v>
      </c>
      <c r="G48" s="21" t="s">
        <v>149</v>
      </c>
      <c r="H48" s="22" t="s">
        <v>42</v>
      </c>
      <c r="I48" s="23">
        <v>4</v>
      </c>
      <c r="J48" s="23">
        <v>1</v>
      </c>
      <c r="K48" s="24">
        <v>202500000047506</v>
      </c>
      <c r="L48" s="24" t="s">
        <v>109</v>
      </c>
      <c r="M48" s="18" t="s">
        <v>225</v>
      </c>
      <c r="N48" s="6">
        <v>20000000</v>
      </c>
      <c r="O48" s="6">
        <v>0</v>
      </c>
      <c r="P48" s="6">
        <v>0</v>
      </c>
      <c r="Q48" s="6">
        <v>0</v>
      </c>
      <c r="R48" s="6">
        <v>0</v>
      </c>
      <c r="S48" s="6">
        <v>0</v>
      </c>
      <c r="T48" s="6">
        <v>0</v>
      </c>
      <c r="U48" s="6">
        <v>0</v>
      </c>
      <c r="V48" s="6">
        <v>0</v>
      </c>
      <c r="W48" s="6">
        <v>0</v>
      </c>
      <c r="X48" s="6">
        <v>0</v>
      </c>
      <c r="Y48" s="6">
        <v>0</v>
      </c>
      <c r="Z48" s="6">
        <v>0</v>
      </c>
      <c r="AA48" s="6">
        <v>0</v>
      </c>
      <c r="AB48" s="25">
        <f t="shared" ref="AB48:AB60" si="10">SUM(N48:AA48)</f>
        <v>20000000</v>
      </c>
    </row>
    <row r="49" spans="1:28" s="18" customFormat="1" ht="30" x14ac:dyDescent="0.25">
      <c r="A49" s="18" t="s">
        <v>69</v>
      </c>
      <c r="B49" s="18" t="s">
        <v>87</v>
      </c>
      <c r="C49" s="19">
        <v>2402</v>
      </c>
      <c r="D49" s="18" t="s">
        <v>88</v>
      </c>
      <c r="E49" s="19" t="s">
        <v>262</v>
      </c>
      <c r="F49" s="20">
        <v>240204200</v>
      </c>
      <c r="G49" s="21" t="s">
        <v>150</v>
      </c>
      <c r="H49" s="22" t="s">
        <v>43</v>
      </c>
      <c r="I49" s="23">
        <v>4000</v>
      </c>
      <c r="J49" s="23">
        <v>2000</v>
      </c>
      <c r="K49" s="24">
        <v>202600000006597</v>
      </c>
      <c r="L49" s="24" t="s">
        <v>110</v>
      </c>
      <c r="M49" s="18" t="s">
        <v>202</v>
      </c>
      <c r="N49" s="6">
        <v>1800000000</v>
      </c>
      <c r="O49" s="6">
        <v>0</v>
      </c>
      <c r="P49" s="6">
        <v>0</v>
      </c>
      <c r="Q49" s="6">
        <v>0</v>
      </c>
      <c r="R49" s="6">
        <v>0</v>
      </c>
      <c r="S49" s="6">
        <v>0</v>
      </c>
      <c r="T49" s="6">
        <v>0</v>
      </c>
      <c r="U49" s="6">
        <v>705450000</v>
      </c>
      <c r="V49" s="6">
        <v>0</v>
      </c>
      <c r="W49" s="6">
        <v>0</v>
      </c>
      <c r="X49" s="6">
        <v>0</v>
      </c>
      <c r="Y49" s="6">
        <v>0</v>
      </c>
      <c r="Z49" s="6">
        <v>0</v>
      </c>
      <c r="AA49" s="6">
        <v>0</v>
      </c>
      <c r="AB49" s="25">
        <f t="shared" si="10"/>
        <v>2505450000</v>
      </c>
    </row>
    <row r="50" spans="1:28" s="18" customFormat="1" ht="30" x14ac:dyDescent="0.25">
      <c r="A50" s="18" t="s">
        <v>69</v>
      </c>
      <c r="B50" s="18" t="s">
        <v>87</v>
      </c>
      <c r="C50" s="19">
        <v>2402</v>
      </c>
      <c r="D50" s="18" t="s">
        <v>88</v>
      </c>
      <c r="E50" s="19" t="s">
        <v>263</v>
      </c>
      <c r="F50" s="20">
        <v>240204800</v>
      </c>
      <c r="G50" s="21" t="s">
        <v>151</v>
      </c>
      <c r="H50" s="22" t="s">
        <v>44</v>
      </c>
      <c r="I50" s="23">
        <v>6</v>
      </c>
      <c r="J50" s="23">
        <v>2</v>
      </c>
      <c r="K50" s="24">
        <v>202500000047646</v>
      </c>
      <c r="L50" s="24" t="s">
        <v>110</v>
      </c>
      <c r="M50" s="18" t="s">
        <v>203</v>
      </c>
      <c r="N50" s="6">
        <v>0</v>
      </c>
      <c r="O50" s="6">
        <v>0</v>
      </c>
      <c r="P50" s="6">
        <v>0</v>
      </c>
      <c r="Q50" s="6">
        <v>0</v>
      </c>
      <c r="R50" s="6">
        <v>0</v>
      </c>
      <c r="S50" s="6">
        <v>0</v>
      </c>
      <c r="T50" s="6">
        <v>0</v>
      </c>
      <c r="U50" s="6">
        <v>100000000</v>
      </c>
      <c r="V50" s="6">
        <v>0</v>
      </c>
      <c r="W50" s="6">
        <v>0</v>
      </c>
      <c r="X50" s="6">
        <v>0</v>
      </c>
      <c r="Y50" s="6">
        <v>0</v>
      </c>
      <c r="Z50" s="6">
        <v>0</v>
      </c>
      <c r="AA50" s="6">
        <v>0</v>
      </c>
      <c r="AB50" s="25">
        <f t="shared" si="10"/>
        <v>100000000</v>
      </c>
    </row>
    <row r="51" spans="1:28" s="18" customFormat="1" ht="30" x14ac:dyDescent="0.25">
      <c r="A51" s="18" t="s">
        <v>69</v>
      </c>
      <c r="B51" s="18" t="s">
        <v>87</v>
      </c>
      <c r="C51" s="19">
        <v>2402</v>
      </c>
      <c r="D51" s="18" t="s">
        <v>88</v>
      </c>
      <c r="E51" s="19" t="s">
        <v>264</v>
      </c>
      <c r="F51" s="20">
        <v>240205600</v>
      </c>
      <c r="G51" s="21" t="s">
        <v>152</v>
      </c>
      <c r="H51" s="22" t="s">
        <v>45</v>
      </c>
      <c r="I51" s="23">
        <v>150</v>
      </c>
      <c r="J51" s="23">
        <v>50</v>
      </c>
      <c r="K51" s="24">
        <v>202500000047652</v>
      </c>
      <c r="L51" s="24" t="s">
        <v>110</v>
      </c>
      <c r="M51" s="18" t="s">
        <v>204</v>
      </c>
      <c r="N51" s="6">
        <v>0</v>
      </c>
      <c r="O51" s="6">
        <v>0</v>
      </c>
      <c r="P51" s="6">
        <v>0</v>
      </c>
      <c r="Q51" s="6">
        <v>0</v>
      </c>
      <c r="R51" s="6">
        <v>0</v>
      </c>
      <c r="S51" s="6">
        <v>0</v>
      </c>
      <c r="T51" s="6">
        <v>0</v>
      </c>
      <c r="U51" s="6">
        <v>100000000</v>
      </c>
      <c r="V51" s="6">
        <v>0</v>
      </c>
      <c r="W51" s="6">
        <v>0</v>
      </c>
      <c r="X51" s="6">
        <v>0</v>
      </c>
      <c r="Y51" s="6">
        <v>0</v>
      </c>
      <c r="Z51" s="6">
        <v>0</v>
      </c>
      <c r="AA51" s="6">
        <v>0</v>
      </c>
      <c r="AB51" s="25">
        <f t="shared" si="10"/>
        <v>100000000</v>
      </c>
    </row>
    <row r="52" spans="1:28" s="18" customFormat="1" ht="30" x14ac:dyDescent="0.25">
      <c r="A52" s="18" t="s">
        <v>69</v>
      </c>
      <c r="B52" s="18" t="s">
        <v>87</v>
      </c>
      <c r="C52" s="19">
        <v>2402</v>
      </c>
      <c r="D52" s="18" t="s">
        <v>88</v>
      </c>
      <c r="E52" s="19" t="s">
        <v>265</v>
      </c>
      <c r="F52" s="20">
        <v>240205700</v>
      </c>
      <c r="G52" s="21" t="s">
        <v>153</v>
      </c>
      <c r="H52" s="22" t="s">
        <v>46</v>
      </c>
      <c r="I52" s="23">
        <v>2</v>
      </c>
      <c r="J52" s="23">
        <v>1</v>
      </c>
      <c r="K52" s="24">
        <v>202500000047671</v>
      </c>
      <c r="L52" s="24" t="s">
        <v>110</v>
      </c>
      <c r="M52" s="18" t="s">
        <v>205</v>
      </c>
      <c r="N52" s="6">
        <v>0</v>
      </c>
      <c r="O52" s="6">
        <v>0</v>
      </c>
      <c r="P52" s="6">
        <v>0</v>
      </c>
      <c r="Q52" s="6">
        <v>0</v>
      </c>
      <c r="R52" s="6">
        <v>0</v>
      </c>
      <c r="S52" s="6">
        <v>0</v>
      </c>
      <c r="T52" s="6">
        <v>0</v>
      </c>
      <c r="U52" s="6">
        <v>80000000</v>
      </c>
      <c r="V52" s="6">
        <v>0</v>
      </c>
      <c r="W52" s="6">
        <v>0</v>
      </c>
      <c r="X52" s="6">
        <v>0</v>
      </c>
      <c r="Y52" s="6">
        <v>0</v>
      </c>
      <c r="Z52" s="6">
        <v>0</v>
      </c>
      <c r="AA52" s="6">
        <v>0</v>
      </c>
      <c r="AB52" s="25">
        <f t="shared" si="10"/>
        <v>80000000</v>
      </c>
    </row>
    <row r="53" spans="1:28" s="18" customFormat="1" ht="30" x14ac:dyDescent="0.25">
      <c r="A53" s="18" t="s">
        <v>69</v>
      </c>
      <c r="B53" s="18" t="s">
        <v>87</v>
      </c>
      <c r="C53" s="19">
        <v>2402</v>
      </c>
      <c r="D53" s="18" t="s">
        <v>88</v>
      </c>
      <c r="E53" s="19" t="s">
        <v>266</v>
      </c>
      <c r="F53" s="20">
        <v>240211200</v>
      </c>
      <c r="G53" s="21" t="s">
        <v>154</v>
      </c>
      <c r="H53" s="22" t="s">
        <v>47</v>
      </c>
      <c r="I53" s="23">
        <v>104</v>
      </c>
      <c r="J53" s="23">
        <v>35</v>
      </c>
      <c r="K53" s="24">
        <v>202500000047627</v>
      </c>
      <c r="L53" s="24" t="s">
        <v>110</v>
      </c>
      <c r="M53" s="18" t="s">
        <v>206</v>
      </c>
      <c r="N53" s="6">
        <v>7206985</v>
      </c>
      <c r="O53" s="6">
        <v>0</v>
      </c>
      <c r="P53" s="6">
        <v>0</v>
      </c>
      <c r="Q53" s="6">
        <v>0</v>
      </c>
      <c r="R53" s="6">
        <v>0</v>
      </c>
      <c r="S53" s="6">
        <v>0</v>
      </c>
      <c r="T53" s="6">
        <v>0</v>
      </c>
      <c r="U53" s="6">
        <v>510000000</v>
      </c>
      <c r="V53" s="6">
        <v>0</v>
      </c>
      <c r="W53" s="6">
        <v>0</v>
      </c>
      <c r="X53" s="6">
        <v>99000000</v>
      </c>
      <c r="Y53" s="6">
        <v>0</v>
      </c>
      <c r="Z53" s="6">
        <v>0</v>
      </c>
      <c r="AA53" s="6">
        <v>0</v>
      </c>
      <c r="AB53" s="25">
        <f t="shared" si="10"/>
        <v>616206985</v>
      </c>
    </row>
    <row r="54" spans="1:28" s="18" customFormat="1" ht="30" x14ac:dyDescent="0.25">
      <c r="A54" s="18" t="s">
        <v>69</v>
      </c>
      <c r="B54" s="18" t="s">
        <v>87</v>
      </c>
      <c r="C54" s="19">
        <v>2402</v>
      </c>
      <c r="D54" s="18" t="s">
        <v>88</v>
      </c>
      <c r="E54" s="19" t="s">
        <v>267</v>
      </c>
      <c r="F54" s="20">
        <v>240211400</v>
      </c>
      <c r="G54" s="21" t="s">
        <v>155</v>
      </c>
      <c r="H54" s="22" t="s">
        <v>48</v>
      </c>
      <c r="I54" s="23">
        <v>3</v>
      </c>
      <c r="J54" s="23">
        <v>1</v>
      </c>
      <c r="K54" s="24">
        <v>202500000047610</v>
      </c>
      <c r="L54" s="24" t="s">
        <v>110</v>
      </c>
      <c r="M54" s="18" t="s">
        <v>207</v>
      </c>
      <c r="N54" s="6">
        <v>9649409.4399999995</v>
      </c>
      <c r="O54" s="6">
        <v>0</v>
      </c>
      <c r="P54" s="6">
        <v>0</v>
      </c>
      <c r="Q54" s="6">
        <v>0</v>
      </c>
      <c r="R54" s="6">
        <v>0</v>
      </c>
      <c r="S54" s="6">
        <v>0</v>
      </c>
      <c r="T54" s="6">
        <v>0</v>
      </c>
      <c r="U54" s="6">
        <f>844512767+1087627200</f>
        <v>1932139967</v>
      </c>
      <c r="V54" s="6">
        <v>0</v>
      </c>
      <c r="W54" s="6">
        <v>0</v>
      </c>
      <c r="X54" s="6">
        <v>0</v>
      </c>
      <c r="Y54" s="6">
        <v>0</v>
      </c>
      <c r="Z54" s="6">
        <v>0</v>
      </c>
      <c r="AA54" s="6">
        <v>0</v>
      </c>
      <c r="AB54" s="25">
        <f t="shared" si="10"/>
        <v>1941789376.4400001</v>
      </c>
    </row>
    <row r="55" spans="1:28" s="18" customFormat="1" ht="30" x14ac:dyDescent="0.25">
      <c r="A55" s="18" t="s">
        <v>69</v>
      </c>
      <c r="B55" s="18" t="s">
        <v>87</v>
      </c>
      <c r="C55" s="19">
        <v>2409</v>
      </c>
      <c r="D55" s="18" t="s">
        <v>89</v>
      </c>
      <c r="E55" s="19">
        <v>2409039</v>
      </c>
      <c r="F55" s="20">
        <v>240903900</v>
      </c>
      <c r="G55" s="21" t="s">
        <v>295</v>
      </c>
      <c r="H55" s="22" t="s">
        <v>296</v>
      </c>
      <c r="I55" s="23">
        <v>136</v>
      </c>
      <c r="J55" s="23">
        <v>20</v>
      </c>
      <c r="K55" s="24">
        <v>202500000047686</v>
      </c>
      <c r="L55" s="24" t="s">
        <v>111</v>
      </c>
      <c r="M55" s="18" t="s">
        <v>297</v>
      </c>
      <c r="N55" s="6">
        <f>6000000+80000000</f>
        <v>86000000</v>
      </c>
      <c r="O55" s="6">
        <v>0</v>
      </c>
      <c r="P55" s="6">
        <v>0</v>
      </c>
      <c r="Q55" s="6">
        <v>0</v>
      </c>
      <c r="R55" s="6">
        <v>0</v>
      </c>
      <c r="S55" s="6">
        <v>0</v>
      </c>
      <c r="T55" s="6">
        <v>0</v>
      </c>
      <c r="U55" s="6">
        <v>0</v>
      </c>
      <c r="V55" s="6">
        <v>0</v>
      </c>
      <c r="W55" s="6">
        <v>0</v>
      </c>
      <c r="X55" s="6">
        <v>0</v>
      </c>
      <c r="Y55" s="6">
        <v>0</v>
      </c>
      <c r="Z55" s="6">
        <v>0</v>
      </c>
      <c r="AA55" s="6">
        <v>0</v>
      </c>
      <c r="AB55" s="25">
        <f t="shared" ref="AB55" si="11">SUM(N55:AA55)</f>
        <v>86000000</v>
      </c>
    </row>
    <row r="56" spans="1:28" s="18" customFormat="1" ht="45" x14ac:dyDescent="0.25">
      <c r="A56" s="18" t="s">
        <v>69</v>
      </c>
      <c r="B56" s="18" t="s">
        <v>90</v>
      </c>
      <c r="C56" s="19">
        <v>3502</v>
      </c>
      <c r="D56" s="18" t="s">
        <v>91</v>
      </c>
      <c r="E56" s="19" t="s">
        <v>268</v>
      </c>
      <c r="F56" s="20">
        <v>350204500</v>
      </c>
      <c r="G56" s="21" t="s">
        <v>132</v>
      </c>
      <c r="H56" s="22" t="s">
        <v>49</v>
      </c>
      <c r="I56" s="23">
        <v>100</v>
      </c>
      <c r="J56" s="23">
        <v>25</v>
      </c>
      <c r="K56" s="24">
        <v>202500000047953</v>
      </c>
      <c r="L56" s="24" t="s">
        <v>106</v>
      </c>
      <c r="M56" s="18" t="s">
        <v>217</v>
      </c>
      <c r="N56" s="6">
        <v>0</v>
      </c>
      <c r="O56" s="6">
        <v>0</v>
      </c>
      <c r="P56" s="6">
        <v>0</v>
      </c>
      <c r="Q56" s="6">
        <v>0</v>
      </c>
      <c r="R56" s="6">
        <v>0</v>
      </c>
      <c r="S56" s="6">
        <v>0</v>
      </c>
      <c r="T56" s="6">
        <v>86580000</v>
      </c>
      <c r="U56" s="6">
        <v>0</v>
      </c>
      <c r="V56" s="6">
        <v>0</v>
      </c>
      <c r="W56" s="6">
        <v>0</v>
      </c>
      <c r="X56" s="6">
        <v>0</v>
      </c>
      <c r="Y56" s="6">
        <v>0</v>
      </c>
      <c r="Z56" s="6">
        <v>0</v>
      </c>
      <c r="AA56" s="6">
        <v>0</v>
      </c>
      <c r="AB56" s="25">
        <f t="shared" si="10"/>
        <v>86580000</v>
      </c>
    </row>
    <row r="57" spans="1:28" s="18" customFormat="1" ht="60" x14ac:dyDescent="0.25">
      <c r="A57" s="18" t="s">
        <v>69</v>
      </c>
      <c r="B57" s="18" t="s">
        <v>92</v>
      </c>
      <c r="C57" s="19">
        <v>1702</v>
      </c>
      <c r="D57" s="18" t="s">
        <v>93</v>
      </c>
      <c r="E57" s="19" t="s">
        <v>269</v>
      </c>
      <c r="F57" s="20">
        <v>170201000</v>
      </c>
      <c r="G57" s="21" t="s">
        <v>156</v>
      </c>
      <c r="H57" s="22" t="s">
        <v>50</v>
      </c>
      <c r="I57" s="23">
        <v>1000</v>
      </c>
      <c r="J57" s="23">
        <v>1000</v>
      </c>
      <c r="K57" s="24">
        <v>202500000047420</v>
      </c>
      <c r="L57" s="24" t="s">
        <v>109</v>
      </c>
      <c r="M57" s="18" t="s">
        <v>171</v>
      </c>
      <c r="N57" s="6">
        <v>0</v>
      </c>
      <c r="O57" s="6">
        <v>0</v>
      </c>
      <c r="P57" s="6">
        <v>0</v>
      </c>
      <c r="Q57" s="6">
        <v>0</v>
      </c>
      <c r="R57" s="6">
        <v>0</v>
      </c>
      <c r="S57" s="6">
        <v>0</v>
      </c>
      <c r="T57" s="6">
        <v>0</v>
      </c>
      <c r="U57" s="6">
        <v>330900000</v>
      </c>
      <c r="V57" s="6">
        <v>0</v>
      </c>
      <c r="W57" s="6">
        <v>0</v>
      </c>
      <c r="X57" s="6">
        <v>0</v>
      </c>
      <c r="Y57" s="6">
        <v>0</v>
      </c>
      <c r="Z57" s="6">
        <v>0</v>
      </c>
      <c r="AA57" s="6">
        <v>0</v>
      </c>
      <c r="AB57" s="25">
        <f t="shared" si="10"/>
        <v>330900000</v>
      </c>
    </row>
    <row r="58" spans="1:28" s="18" customFormat="1" ht="45" x14ac:dyDescent="0.25">
      <c r="A58" s="18" t="s">
        <v>69</v>
      </c>
      <c r="B58" s="18" t="s">
        <v>92</v>
      </c>
      <c r="C58" s="19"/>
      <c r="D58" s="18" t="s">
        <v>93</v>
      </c>
      <c r="E58" s="19">
        <v>1702023</v>
      </c>
      <c r="F58" s="20">
        <v>170202301</v>
      </c>
      <c r="G58" s="21" t="s">
        <v>293</v>
      </c>
      <c r="H58" s="22" t="s">
        <v>293</v>
      </c>
      <c r="I58" s="23">
        <v>1</v>
      </c>
      <c r="J58" s="23">
        <v>1</v>
      </c>
      <c r="K58" s="24">
        <v>202500000047417</v>
      </c>
      <c r="L58" s="24" t="s">
        <v>109</v>
      </c>
      <c r="M58" s="18" t="s">
        <v>294</v>
      </c>
      <c r="N58" s="6">
        <v>60000000</v>
      </c>
      <c r="O58" s="6">
        <v>0</v>
      </c>
      <c r="P58" s="6">
        <v>0</v>
      </c>
      <c r="Q58" s="6">
        <v>0</v>
      </c>
      <c r="R58" s="6">
        <v>0</v>
      </c>
      <c r="S58" s="6">
        <v>0</v>
      </c>
      <c r="T58" s="6">
        <v>0</v>
      </c>
      <c r="U58" s="6">
        <v>0</v>
      </c>
      <c r="V58" s="6">
        <v>0</v>
      </c>
      <c r="W58" s="6">
        <v>0</v>
      </c>
      <c r="X58" s="6">
        <v>0</v>
      </c>
      <c r="Y58" s="6">
        <v>0</v>
      </c>
      <c r="Z58" s="6">
        <v>0</v>
      </c>
      <c r="AA58" s="6">
        <v>0</v>
      </c>
      <c r="AB58" s="25">
        <f t="shared" ref="AB58" si="12">SUM(N58:AA58)</f>
        <v>60000000</v>
      </c>
    </row>
    <row r="59" spans="1:28" s="18" customFormat="1" ht="105" x14ac:dyDescent="0.25">
      <c r="A59" s="18" t="s">
        <v>69</v>
      </c>
      <c r="B59" s="18" t="s">
        <v>92</v>
      </c>
      <c r="C59" s="19">
        <v>1702</v>
      </c>
      <c r="D59" s="18" t="s">
        <v>93</v>
      </c>
      <c r="E59" s="19" t="s">
        <v>270</v>
      </c>
      <c r="F59" s="20">
        <v>170203800</v>
      </c>
      <c r="G59" s="21" t="s">
        <v>172</v>
      </c>
      <c r="H59" s="22" t="s">
        <v>51</v>
      </c>
      <c r="I59" s="23">
        <v>10</v>
      </c>
      <c r="J59" s="23">
        <v>2</v>
      </c>
      <c r="K59" s="24">
        <v>202500000047425</v>
      </c>
      <c r="L59" s="24" t="s">
        <v>109</v>
      </c>
      <c r="M59" s="18" t="s">
        <v>313</v>
      </c>
      <c r="N59" s="6">
        <v>0</v>
      </c>
      <c r="O59" s="6">
        <v>0</v>
      </c>
      <c r="P59" s="6">
        <v>0</v>
      </c>
      <c r="Q59" s="6">
        <v>0</v>
      </c>
      <c r="R59" s="6">
        <v>0</v>
      </c>
      <c r="S59" s="6">
        <v>0</v>
      </c>
      <c r="T59" s="6">
        <v>0</v>
      </c>
      <c r="U59" s="6">
        <v>42000000</v>
      </c>
      <c r="V59" s="6">
        <v>0</v>
      </c>
      <c r="W59" s="6">
        <v>0</v>
      </c>
      <c r="X59" s="6">
        <v>0</v>
      </c>
      <c r="Y59" s="6">
        <v>0</v>
      </c>
      <c r="Z59" s="6">
        <v>0</v>
      </c>
      <c r="AA59" s="6">
        <v>0</v>
      </c>
      <c r="AB59" s="25">
        <f t="shared" si="10"/>
        <v>42000000</v>
      </c>
    </row>
    <row r="60" spans="1:28" s="18" customFormat="1" ht="45" x14ac:dyDescent="0.25">
      <c r="A60" s="18" t="s">
        <v>69</v>
      </c>
      <c r="B60" s="18" t="s">
        <v>92</v>
      </c>
      <c r="C60" s="19">
        <v>1704</v>
      </c>
      <c r="D60" s="18" t="s">
        <v>94</v>
      </c>
      <c r="E60" s="19" t="s">
        <v>271</v>
      </c>
      <c r="F60" s="20">
        <v>170400100</v>
      </c>
      <c r="G60" s="21" t="s">
        <v>157</v>
      </c>
      <c r="H60" s="22" t="s">
        <v>52</v>
      </c>
      <c r="I60" s="23">
        <v>1</v>
      </c>
      <c r="J60" s="23">
        <v>1</v>
      </c>
      <c r="K60" s="24">
        <v>202500000047414</v>
      </c>
      <c r="L60" s="24" t="s">
        <v>109</v>
      </c>
      <c r="M60" s="18" t="s">
        <v>173</v>
      </c>
      <c r="N60" s="6">
        <v>0</v>
      </c>
      <c r="O60" s="6">
        <v>0</v>
      </c>
      <c r="P60" s="6">
        <v>0</v>
      </c>
      <c r="Q60" s="6">
        <v>0</v>
      </c>
      <c r="R60" s="6">
        <v>0</v>
      </c>
      <c r="S60" s="6">
        <v>0</v>
      </c>
      <c r="T60" s="6">
        <v>0</v>
      </c>
      <c r="U60" s="6">
        <v>15000000</v>
      </c>
      <c r="V60" s="6">
        <v>0</v>
      </c>
      <c r="W60" s="6">
        <v>0</v>
      </c>
      <c r="X60" s="6">
        <v>0</v>
      </c>
      <c r="Y60" s="6">
        <v>0</v>
      </c>
      <c r="Z60" s="6">
        <v>0</v>
      </c>
      <c r="AA60" s="6">
        <v>0</v>
      </c>
      <c r="AB60" s="25">
        <f t="shared" si="10"/>
        <v>15000000</v>
      </c>
    </row>
    <row r="61" spans="1:28" s="18" customFormat="1" ht="45" x14ac:dyDescent="0.25">
      <c r="A61" s="18" t="s">
        <v>69</v>
      </c>
      <c r="B61" s="18" t="s">
        <v>92</v>
      </c>
      <c r="C61" s="19">
        <v>1709</v>
      </c>
      <c r="D61" s="18" t="s">
        <v>95</v>
      </c>
      <c r="E61" s="19" t="s">
        <v>272</v>
      </c>
      <c r="F61" s="20">
        <v>170910500</v>
      </c>
      <c r="G61" s="21" t="s">
        <v>158</v>
      </c>
      <c r="H61" s="22" t="s">
        <v>53</v>
      </c>
      <c r="I61" s="23">
        <v>6</v>
      </c>
      <c r="J61" s="23">
        <v>3</v>
      </c>
      <c r="K61" s="24">
        <v>202500000047423</v>
      </c>
      <c r="L61" s="24" t="s">
        <v>109</v>
      </c>
      <c r="M61" s="18" t="s">
        <v>174</v>
      </c>
      <c r="N61" s="6">
        <v>713864</v>
      </c>
      <c r="O61" s="6">
        <v>0</v>
      </c>
      <c r="P61" s="6">
        <v>0</v>
      </c>
      <c r="Q61" s="6">
        <v>0</v>
      </c>
      <c r="R61" s="6">
        <v>0</v>
      </c>
      <c r="S61" s="6">
        <v>0</v>
      </c>
      <c r="T61" s="6">
        <v>20839280</v>
      </c>
      <c r="U61" s="6">
        <f>238894601+80000000</f>
        <v>318894601</v>
      </c>
      <c r="V61" s="6">
        <v>0</v>
      </c>
      <c r="W61" s="6">
        <v>0</v>
      </c>
      <c r="X61" s="6">
        <v>5779420</v>
      </c>
      <c r="Y61" s="6">
        <v>0</v>
      </c>
      <c r="Z61" s="6">
        <v>0</v>
      </c>
      <c r="AA61" s="6">
        <v>0</v>
      </c>
      <c r="AB61" s="25">
        <f t="shared" ref="AB61:AB69" si="13">SUM(N61:AA61)</f>
        <v>346227165</v>
      </c>
    </row>
    <row r="62" spans="1:28" s="18" customFormat="1" ht="45" x14ac:dyDescent="0.25">
      <c r="A62" s="18" t="s">
        <v>70</v>
      </c>
      <c r="B62" s="18" t="s">
        <v>96</v>
      </c>
      <c r="C62" s="19">
        <v>4502</v>
      </c>
      <c r="D62" s="18" t="s">
        <v>97</v>
      </c>
      <c r="E62" s="19" t="s">
        <v>273</v>
      </c>
      <c r="F62" s="20">
        <v>450200100</v>
      </c>
      <c r="G62" s="21" t="s">
        <v>159</v>
      </c>
      <c r="H62" s="22" t="s">
        <v>54</v>
      </c>
      <c r="I62" s="23">
        <v>4</v>
      </c>
      <c r="J62" s="23">
        <v>1</v>
      </c>
      <c r="K62" s="24">
        <v>202500000048502</v>
      </c>
      <c r="L62" s="24" t="s">
        <v>106</v>
      </c>
      <c r="M62" s="18" t="s">
        <v>218</v>
      </c>
      <c r="N62" s="6">
        <v>0</v>
      </c>
      <c r="O62" s="6">
        <v>0</v>
      </c>
      <c r="P62" s="6">
        <v>0</v>
      </c>
      <c r="Q62" s="6">
        <v>0</v>
      </c>
      <c r="R62" s="6">
        <v>0</v>
      </c>
      <c r="S62" s="6">
        <v>0</v>
      </c>
      <c r="T62" s="6">
        <v>0</v>
      </c>
      <c r="U62" s="6">
        <v>105000000</v>
      </c>
      <c r="V62" s="6">
        <v>0</v>
      </c>
      <c r="W62" s="6">
        <v>0</v>
      </c>
      <c r="X62" s="6">
        <v>0</v>
      </c>
      <c r="Y62" s="6">
        <v>0</v>
      </c>
      <c r="Z62" s="6">
        <v>0</v>
      </c>
      <c r="AA62" s="6">
        <v>0</v>
      </c>
      <c r="AB62" s="25">
        <f t="shared" si="13"/>
        <v>105000000</v>
      </c>
    </row>
    <row r="63" spans="1:28" s="18" customFormat="1" ht="45" x14ac:dyDescent="0.25">
      <c r="A63" s="18" t="s">
        <v>70</v>
      </c>
      <c r="B63" s="18" t="s">
        <v>96</v>
      </c>
      <c r="C63" s="19">
        <v>4502</v>
      </c>
      <c r="D63" s="18" t="s">
        <v>97</v>
      </c>
      <c r="E63" s="19" t="s">
        <v>274</v>
      </c>
      <c r="F63" s="20">
        <v>450200300</v>
      </c>
      <c r="G63" s="21" t="s">
        <v>160</v>
      </c>
      <c r="H63" s="22" t="s">
        <v>55</v>
      </c>
      <c r="I63" s="23">
        <v>20</v>
      </c>
      <c r="J63" s="23">
        <v>4</v>
      </c>
      <c r="K63" s="24">
        <v>202500000048495</v>
      </c>
      <c r="L63" s="24" t="s">
        <v>106</v>
      </c>
      <c r="M63" s="18" t="s">
        <v>219</v>
      </c>
      <c r="N63" s="6">
        <v>100000000</v>
      </c>
      <c r="O63" s="6">
        <v>0</v>
      </c>
      <c r="P63" s="6">
        <v>0</v>
      </c>
      <c r="Q63" s="6">
        <v>0</v>
      </c>
      <c r="R63" s="6">
        <v>0</v>
      </c>
      <c r="S63" s="6">
        <v>0</v>
      </c>
      <c r="T63" s="6">
        <v>0</v>
      </c>
      <c r="U63" s="6">
        <v>100000000</v>
      </c>
      <c r="V63" s="6">
        <v>0</v>
      </c>
      <c r="W63" s="6">
        <v>0</v>
      </c>
      <c r="X63" s="6">
        <v>0</v>
      </c>
      <c r="Y63" s="6">
        <v>0</v>
      </c>
      <c r="Z63" s="6">
        <v>0</v>
      </c>
      <c r="AA63" s="6">
        <v>0</v>
      </c>
      <c r="AB63" s="25">
        <f t="shared" si="13"/>
        <v>200000000</v>
      </c>
    </row>
    <row r="64" spans="1:28" s="18" customFormat="1" ht="90" x14ac:dyDescent="0.25">
      <c r="A64" s="18" t="s">
        <v>70</v>
      </c>
      <c r="B64" s="18" t="s">
        <v>96</v>
      </c>
      <c r="C64" s="19">
        <v>4502</v>
      </c>
      <c r="D64" s="18" t="s">
        <v>97</v>
      </c>
      <c r="E64" s="19">
        <v>4502038</v>
      </c>
      <c r="F64" s="20">
        <v>450203800</v>
      </c>
      <c r="G64" s="21" t="s">
        <v>331</v>
      </c>
      <c r="H64" s="22" t="s">
        <v>332</v>
      </c>
      <c r="I64" s="23">
        <v>4</v>
      </c>
      <c r="J64" s="23">
        <v>1</v>
      </c>
      <c r="K64" s="24">
        <v>202600000012660</v>
      </c>
      <c r="L64" s="24" t="s">
        <v>106</v>
      </c>
      <c r="M64" s="18" t="s">
        <v>333</v>
      </c>
      <c r="N64" s="6">
        <v>0</v>
      </c>
      <c r="O64" s="6">
        <v>0</v>
      </c>
      <c r="P64" s="6">
        <v>0</v>
      </c>
      <c r="Q64" s="6">
        <v>0</v>
      </c>
      <c r="R64" s="6">
        <v>0</v>
      </c>
      <c r="S64" s="6">
        <v>0</v>
      </c>
      <c r="T64" s="6">
        <v>25000000</v>
      </c>
      <c r="U64" s="6">
        <v>0</v>
      </c>
      <c r="V64" s="6">
        <v>0</v>
      </c>
      <c r="W64" s="6">
        <v>0</v>
      </c>
      <c r="X64" s="6">
        <v>0</v>
      </c>
      <c r="Y64" s="6">
        <v>0</v>
      </c>
      <c r="Z64" s="6">
        <v>0</v>
      </c>
      <c r="AA64" s="6">
        <v>0</v>
      </c>
      <c r="AB64" s="25">
        <f t="shared" si="13"/>
        <v>25000000</v>
      </c>
    </row>
    <row r="65" spans="1:28" s="18" customFormat="1" ht="30" x14ac:dyDescent="0.25">
      <c r="A65" s="18" t="s">
        <v>70</v>
      </c>
      <c r="B65" s="18" t="s">
        <v>96</v>
      </c>
      <c r="C65" s="19">
        <v>4503</v>
      </c>
      <c r="D65" s="18" t="s">
        <v>98</v>
      </c>
      <c r="E65" s="19" t="s">
        <v>275</v>
      </c>
      <c r="F65" s="20">
        <v>450302200</v>
      </c>
      <c r="G65" s="21" t="s">
        <v>56</v>
      </c>
      <c r="H65" s="22" t="s">
        <v>56</v>
      </c>
      <c r="I65" s="23">
        <v>4</v>
      </c>
      <c r="J65" s="23">
        <f t="shared" ref="J65:J66" si="14">+I65/4</f>
        <v>1</v>
      </c>
      <c r="K65" s="24">
        <v>202500000048510</v>
      </c>
      <c r="L65" s="24" t="s">
        <v>110</v>
      </c>
      <c r="M65" s="18" t="s">
        <v>195</v>
      </c>
      <c r="N65" s="6">
        <v>3291404</v>
      </c>
      <c r="O65" s="6">
        <v>0</v>
      </c>
      <c r="P65" s="6">
        <v>0</v>
      </c>
      <c r="Q65" s="6">
        <v>0</v>
      </c>
      <c r="R65" s="6">
        <v>0</v>
      </c>
      <c r="S65" s="6">
        <v>0</v>
      </c>
      <c r="T65" s="6">
        <v>0</v>
      </c>
      <c r="U65" s="6">
        <v>920000000</v>
      </c>
      <c r="V65" s="6">
        <v>0</v>
      </c>
      <c r="W65" s="6">
        <v>0</v>
      </c>
      <c r="X65" s="6">
        <v>0</v>
      </c>
      <c r="Y65" s="6">
        <v>0</v>
      </c>
      <c r="Z65" s="6">
        <v>0</v>
      </c>
      <c r="AA65" s="6">
        <v>0</v>
      </c>
      <c r="AB65" s="25">
        <f t="shared" si="13"/>
        <v>923291404</v>
      </c>
    </row>
    <row r="66" spans="1:28" s="18" customFormat="1" ht="45" x14ac:dyDescent="0.25">
      <c r="A66" s="18" t="s">
        <v>70</v>
      </c>
      <c r="B66" s="18" t="s">
        <v>96</v>
      </c>
      <c r="C66" s="19">
        <v>4503</v>
      </c>
      <c r="D66" s="18" t="s">
        <v>98</v>
      </c>
      <c r="E66" s="19" t="s">
        <v>276</v>
      </c>
      <c r="F66" s="20">
        <v>450302800</v>
      </c>
      <c r="G66" s="21" t="s">
        <v>161</v>
      </c>
      <c r="H66" s="22" t="s">
        <v>57</v>
      </c>
      <c r="I66" s="23">
        <v>100</v>
      </c>
      <c r="J66" s="23">
        <f t="shared" si="14"/>
        <v>25</v>
      </c>
      <c r="K66" s="24">
        <v>202500000048531</v>
      </c>
      <c r="L66" s="24" t="s">
        <v>110</v>
      </c>
      <c r="M66" s="18" t="s">
        <v>194</v>
      </c>
      <c r="N66" s="6">
        <v>358733863.61000001</v>
      </c>
      <c r="O66" s="6">
        <v>0</v>
      </c>
      <c r="P66" s="6">
        <v>0</v>
      </c>
      <c r="Q66" s="6">
        <v>0</v>
      </c>
      <c r="R66" s="6">
        <v>0</v>
      </c>
      <c r="S66" s="6">
        <v>0</v>
      </c>
      <c r="T66" s="6">
        <v>97515265</v>
      </c>
      <c r="U66" s="6">
        <v>0</v>
      </c>
      <c r="V66" s="6">
        <v>0</v>
      </c>
      <c r="W66" s="6">
        <v>0</v>
      </c>
      <c r="X66" s="6">
        <v>0</v>
      </c>
      <c r="Y66" s="6">
        <v>0</v>
      </c>
      <c r="Z66" s="6">
        <v>0</v>
      </c>
      <c r="AA66" s="6">
        <v>0</v>
      </c>
      <c r="AB66" s="25">
        <f t="shared" si="13"/>
        <v>456249128.61000001</v>
      </c>
    </row>
    <row r="67" spans="1:28" s="18" customFormat="1" ht="45" x14ac:dyDescent="0.25">
      <c r="A67" s="18" t="s">
        <v>70</v>
      </c>
      <c r="B67" s="18" t="s">
        <v>96</v>
      </c>
      <c r="C67" s="19">
        <v>4503</v>
      </c>
      <c r="D67" s="18" t="s">
        <v>98</v>
      </c>
      <c r="E67" s="19">
        <v>4503035</v>
      </c>
      <c r="F67" s="20">
        <v>450303500</v>
      </c>
      <c r="G67" s="21" t="s">
        <v>334</v>
      </c>
      <c r="H67" s="22" t="s">
        <v>334</v>
      </c>
      <c r="I67" s="23">
        <v>4</v>
      </c>
      <c r="J67" s="23">
        <v>1</v>
      </c>
      <c r="K67" s="24">
        <v>202600000012666</v>
      </c>
      <c r="L67" s="24" t="s">
        <v>110</v>
      </c>
      <c r="M67" s="18" t="s">
        <v>335</v>
      </c>
      <c r="N67" s="6">
        <v>10000000</v>
      </c>
      <c r="O67" s="6">
        <v>0</v>
      </c>
      <c r="P67" s="6">
        <v>0</v>
      </c>
      <c r="Q67" s="6">
        <v>0</v>
      </c>
      <c r="R67" s="6">
        <v>0</v>
      </c>
      <c r="S67" s="6">
        <v>0</v>
      </c>
      <c r="T67" s="6">
        <v>0</v>
      </c>
      <c r="U67" s="6">
        <v>0</v>
      </c>
      <c r="V67" s="6">
        <v>0</v>
      </c>
      <c r="W67" s="6">
        <v>0</v>
      </c>
      <c r="X67" s="6">
        <v>0</v>
      </c>
      <c r="Y67" s="6">
        <v>0</v>
      </c>
      <c r="Z67" s="6">
        <v>0</v>
      </c>
      <c r="AA67" s="6">
        <v>0</v>
      </c>
      <c r="AB67" s="25">
        <f t="shared" si="13"/>
        <v>10000000</v>
      </c>
    </row>
    <row r="68" spans="1:28" s="18" customFormat="1" ht="45" x14ac:dyDescent="0.25">
      <c r="A68" s="18" t="s">
        <v>70</v>
      </c>
      <c r="B68" s="18" t="s">
        <v>96</v>
      </c>
      <c r="C68" s="19">
        <v>4599</v>
      </c>
      <c r="D68" s="18" t="s">
        <v>99</v>
      </c>
      <c r="E68" s="19" t="s">
        <v>277</v>
      </c>
      <c r="F68" s="20">
        <v>459901100</v>
      </c>
      <c r="G68" s="21" t="s">
        <v>185</v>
      </c>
      <c r="H68" s="22" t="s">
        <v>58</v>
      </c>
      <c r="I68" s="23">
        <v>4</v>
      </c>
      <c r="J68" s="23">
        <v>1</v>
      </c>
      <c r="K68" s="24">
        <v>202500000048591</v>
      </c>
      <c r="L68" s="24" t="s">
        <v>108</v>
      </c>
      <c r="M68" s="18" t="s">
        <v>186</v>
      </c>
      <c r="N68" s="6">
        <v>0</v>
      </c>
      <c r="O68" s="6">
        <v>0</v>
      </c>
      <c r="P68" s="6">
        <v>0</v>
      </c>
      <c r="Q68" s="6">
        <v>0</v>
      </c>
      <c r="R68" s="6">
        <v>0</v>
      </c>
      <c r="S68" s="6">
        <v>0</v>
      </c>
      <c r="T68" s="6">
        <v>0</v>
      </c>
      <c r="U68" s="6">
        <v>100000000</v>
      </c>
      <c r="V68" s="6">
        <v>0</v>
      </c>
      <c r="W68" s="6">
        <v>0</v>
      </c>
      <c r="X68" s="6">
        <v>0</v>
      </c>
      <c r="Y68" s="6">
        <v>0</v>
      </c>
      <c r="Z68" s="6">
        <v>0</v>
      </c>
      <c r="AA68" s="6">
        <v>0</v>
      </c>
      <c r="AB68" s="25">
        <f t="shared" si="13"/>
        <v>100000000</v>
      </c>
    </row>
    <row r="69" spans="1:28" s="18" customFormat="1" ht="45" x14ac:dyDescent="0.25">
      <c r="A69" s="18" t="s">
        <v>70</v>
      </c>
      <c r="B69" s="18" t="s">
        <v>96</v>
      </c>
      <c r="C69" s="19">
        <v>4599</v>
      </c>
      <c r="D69" s="18" t="s">
        <v>99</v>
      </c>
      <c r="E69" s="19" t="s">
        <v>278</v>
      </c>
      <c r="F69" s="20">
        <v>459901600</v>
      </c>
      <c r="G69" s="21" t="s">
        <v>187</v>
      </c>
      <c r="H69" s="22" t="s">
        <v>59</v>
      </c>
      <c r="I69" s="23">
        <v>4</v>
      </c>
      <c r="J69" s="23">
        <v>1</v>
      </c>
      <c r="K69" s="24">
        <v>202500000048534</v>
      </c>
      <c r="L69" s="24" t="s">
        <v>108</v>
      </c>
      <c r="M69" s="18" t="s">
        <v>184</v>
      </c>
      <c r="N69" s="6">
        <v>0</v>
      </c>
      <c r="O69" s="6">
        <v>0</v>
      </c>
      <c r="P69" s="6">
        <v>0</v>
      </c>
      <c r="Q69" s="6">
        <v>0</v>
      </c>
      <c r="R69" s="6">
        <v>0</v>
      </c>
      <c r="S69" s="6">
        <v>0</v>
      </c>
      <c r="T69" s="6">
        <v>39000000</v>
      </c>
      <c r="U69" s="6">
        <v>100000000</v>
      </c>
      <c r="V69" s="6">
        <v>0</v>
      </c>
      <c r="W69" s="6">
        <v>0</v>
      </c>
      <c r="X69" s="6">
        <v>0</v>
      </c>
      <c r="Y69" s="6">
        <v>0</v>
      </c>
      <c r="Z69" s="6">
        <v>0</v>
      </c>
      <c r="AA69" s="6">
        <v>0</v>
      </c>
      <c r="AB69" s="25">
        <f t="shared" si="13"/>
        <v>139000000</v>
      </c>
    </row>
    <row r="70" spans="1:28" s="18" customFormat="1" ht="45" x14ac:dyDescent="0.25">
      <c r="A70" s="18" t="s">
        <v>70</v>
      </c>
      <c r="B70" s="18" t="s">
        <v>96</v>
      </c>
      <c r="C70" s="19">
        <v>4599</v>
      </c>
      <c r="D70" s="18" t="s">
        <v>99</v>
      </c>
      <c r="E70" s="19">
        <v>4599031</v>
      </c>
      <c r="F70" s="20">
        <v>459903100</v>
      </c>
      <c r="G70" s="21" t="s">
        <v>310</v>
      </c>
      <c r="H70" s="22" t="s">
        <v>311</v>
      </c>
      <c r="I70" s="23">
        <v>4</v>
      </c>
      <c r="J70" s="23">
        <v>1</v>
      </c>
      <c r="K70" s="24">
        <v>202500000048648</v>
      </c>
      <c r="L70" s="24" t="s">
        <v>108</v>
      </c>
      <c r="M70" s="18" t="s">
        <v>309</v>
      </c>
      <c r="N70" s="6">
        <v>0</v>
      </c>
      <c r="O70" s="6">
        <v>0</v>
      </c>
      <c r="P70" s="6">
        <v>0</v>
      </c>
      <c r="Q70" s="6">
        <v>0</v>
      </c>
      <c r="R70" s="6">
        <v>0</v>
      </c>
      <c r="S70" s="6">
        <v>0</v>
      </c>
      <c r="T70" s="6">
        <v>0</v>
      </c>
      <c r="U70" s="6">
        <v>20000000</v>
      </c>
      <c r="V70" s="6">
        <v>0</v>
      </c>
      <c r="W70" s="6">
        <v>0</v>
      </c>
      <c r="X70" s="6">
        <v>0</v>
      </c>
      <c r="Y70" s="6">
        <v>0</v>
      </c>
      <c r="Z70" s="6">
        <v>0</v>
      </c>
      <c r="AA70" s="6">
        <v>0</v>
      </c>
      <c r="AB70" s="25">
        <f t="shared" ref="AB70" si="15">SUM(N70:AA70)</f>
        <v>20000000</v>
      </c>
    </row>
    <row r="71" spans="1:28" s="18" customFormat="1" ht="60" x14ac:dyDescent="0.25">
      <c r="A71" s="18" t="s">
        <v>70</v>
      </c>
      <c r="B71" s="18" t="s">
        <v>100</v>
      </c>
      <c r="C71" s="19">
        <v>1202</v>
      </c>
      <c r="D71" s="18" t="s">
        <v>101</v>
      </c>
      <c r="E71" s="19" t="s">
        <v>279</v>
      </c>
      <c r="F71" s="20">
        <v>120201800</v>
      </c>
      <c r="G71" s="21" t="s">
        <v>188</v>
      </c>
      <c r="H71" s="22" t="s">
        <v>60</v>
      </c>
      <c r="I71" s="23">
        <v>4</v>
      </c>
      <c r="J71" s="23">
        <v>1</v>
      </c>
      <c r="K71" s="24">
        <v>202500000047399</v>
      </c>
      <c r="L71" s="24" t="s">
        <v>108</v>
      </c>
      <c r="M71" s="18" t="s">
        <v>290</v>
      </c>
      <c r="N71" s="6">
        <v>0</v>
      </c>
      <c r="O71" s="6">
        <v>0</v>
      </c>
      <c r="P71" s="6">
        <v>0</v>
      </c>
      <c r="Q71" s="6">
        <v>0</v>
      </c>
      <c r="R71" s="6">
        <v>0</v>
      </c>
      <c r="S71" s="6">
        <v>0</v>
      </c>
      <c r="T71" s="6">
        <v>0</v>
      </c>
      <c r="U71" s="6">
        <v>97244592</v>
      </c>
      <c r="V71" s="6">
        <v>0</v>
      </c>
      <c r="W71" s="6">
        <v>0</v>
      </c>
      <c r="X71" s="6">
        <v>0</v>
      </c>
      <c r="Y71" s="6">
        <v>0</v>
      </c>
      <c r="Z71" s="6">
        <v>0</v>
      </c>
      <c r="AA71" s="6">
        <v>0</v>
      </c>
      <c r="AB71" s="25">
        <f t="shared" ref="AB71:AB74" si="16">SUM(N71:AA71)</f>
        <v>97244592</v>
      </c>
    </row>
    <row r="72" spans="1:28" s="18" customFormat="1" ht="30" x14ac:dyDescent="0.25">
      <c r="A72" s="18" t="s">
        <v>70</v>
      </c>
      <c r="B72" s="18" t="s">
        <v>100</v>
      </c>
      <c r="C72" s="19">
        <v>1202</v>
      </c>
      <c r="D72" s="18" t="s">
        <v>101</v>
      </c>
      <c r="E72" s="19" t="s">
        <v>291</v>
      </c>
      <c r="F72" s="20">
        <v>120203300</v>
      </c>
      <c r="G72" s="21" t="s">
        <v>189</v>
      </c>
      <c r="H72" s="22" t="s">
        <v>61</v>
      </c>
      <c r="I72" s="23">
        <v>4</v>
      </c>
      <c r="J72" s="23">
        <v>1</v>
      </c>
      <c r="K72" s="24">
        <v>202500000047408</v>
      </c>
      <c r="L72" s="24" t="s">
        <v>108</v>
      </c>
      <c r="M72" s="18" t="s">
        <v>292</v>
      </c>
      <c r="N72" s="6">
        <v>30000000</v>
      </c>
      <c r="O72" s="6">
        <v>0</v>
      </c>
      <c r="P72" s="6">
        <v>0</v>
      </c>
      <c r="Q72" s="6">
        <v>0</v>
      </c>
      <c r="R72" s="6">
        <v>0</v>
      </c>
      <c r="S72" s="6">
        <v>0</v>
      </c>
      <c r="T72" s="6">
        <v>0</v>
      </c>
      <c r="U72" s="6">
        <v>0</v>
      </c>
      <c r="V72" s="6">
        <v>0</v>
      </c>
      <c r="W72" s="6">
        <v>0</v>
      </c>
      <c r="X72" s="6">
        <v>0</v>
      </c>
      <c r="Y72" s="6">
        <v>0</v>
      </c>
      <c r="Z72" s="6">
        <v>0</v>
      </c>
      <c r="AA72" s="6">
        <v>0</v>
      </c>
      <c r="AB72" s="25">
        <f t="shared" si="16"/>
        <v>30000000</v>
      </c>
    </row>
    <row r="73" spans="1:28" s="18" customFormat="1" ht="30" x14ac:dyDescent="0.25">
      <c r="A73" s="18" t="s">
        <v>70</v>
      </c>
      <c r="B73" s="18" t="s">
        <v>100</v>
      </c>
      <c r="C73" s="19">
        <v>1206</v>
      </c>
      <c r="D73" s="18" t="s">
        <v>102</v>
      </c>
      <c r="E73" s="19" t="s">
        <v>280</v>
      </c>
      <c r="F73" s="20">
        <v>120600702</v>
      </c>
      <c r="G73" s="21" t="s">
        <v>190</v>
      </c>
      <c r="H73" s="22" t="s">
        <v>62</v>
      </c>
      <c r="I73" s="23">
        <v>100</v>
      </c>
      <c r="J73" s="23">
        <v>25</v>
      </c>
      <c r="K73" s="24">
        <v>202500000047402</v>
      </c>
      <c r="L73" s="24" t="s">
        <v>108</v>
      </c>
      <c r="M73" s="18" t="s">
        <v>191</v>
      </c>
      <c r="N73" s="6">
        <v>0</v>
      </c>
      <c r="O73" s="6">
        <v>0</v>
      </c>
      <c r="P73" s="6">
        <v>0</v>
      </c>
      <c r="Q73" s="6">
        <v>0</v>
      </c>
      <c r="R73" s="6">
        <v>0</v>
      </c>
      <c r="S73" s="6">
        <v>0</v>
      </c>
      <c r="T73" s="6">
        <v>0</v>
      </c>
      <c r="U73" s="6">
        <v>40000000</v>
      </c>
      <c r="V73" s="6">
        <v>0</v>
      </c>
      <c r="W73" s="6">
        <v>0</v>
      </c>
      <c r="X73" s="6">
        <v>0</v>
      </c>
      <c r="Y73" s="6">
        <v>0</v>
      </c>
      <c r="Z73" s="6">
        <v>0</v>
      </c>
      <c r="AA73" s="6">
        <v>0</v>
      </c>
      <c r="AB73" s="25">
        <f t="shared" si="16"/>
        <v>40000000</v>
      </c>
    </row>
    <row r="74" spans="1:28" s="18" customFormat="1" ht="30" x14ac:dyDescent="0.25">
      <c r="A74" s="18" t="s">
        <v>70</v>
      </c>
      <c r="B74" s="18" t="s">
        <v>100</v>
      </c>
      <c r="C74" s="19">
        <v>1206</v>
      </c>
      <c r="D74" s="18" t="s">
        <v>102</v>
      </c>
      <c r="E74" s="19" t="s">
        <v>281</v>
      </c>
      <c r="F74" s="20">
        <v>120601400</v>
      </c>
      <c r="G74" s="21" t="s">
        <v>192</v>
      </c>
      <c r="H74" s="22" t="s">
        <v>63</v>
      </c>
      <c r="I74" s="23">
        <v>200</v>
      </c>
      <c r="J74" s="23">
        <v>50</v>
      </c>
      <c r="K74" s="24">
        <v>202500000047404</v>
      </c>
      <c r="L74" s="24" t="s">
        <v>108</v>
      </c>
      <c r="M74" s="18" t="s">
        <v>193</v>
      </c>
      <c r="N74" s="6">
        <v>20000000</v>
      </c>
      <c r="O74" s="6">
        <v>0</v>
      </c>
      <c r="P74" s="6">
        <v>0</v>
      </c>
      <c r="Q74" s="6">
        <v>0</v>
      </c>
      <c r="R74" s="6">
        <v>0</v>
      </c>
      <c r="S74" s="6">
        <v>0</v>
      </c>
      <c r="T74" s="6">
        <v>0</v>
      </c>
      <c r="U74" s="6">
        <v>0</v>
      </c>
      <c r="V74" s="6">
        <v>0</v>
      </c>
      <c r="W74" s="6">
        <v>0</v>
      </c>
      <c r="X74" s="6">
        <v>0</v>
      </c>
      <c r="Y74" s="6">
        <v>0</v>
      </c>
      <c r="Z74" s="6">
        <v>0</v>
      </c>
      <c r="AA74" s="6">
        <v>0</v>
      </c>
      <c r="AB74" s="25">
        <f t="shared" si="16"/>
        <v>20000000</v>
      </c>
    </row>
    <row r="75" spans="1:28" x14ac:dyDescent="0.25">
      <c r="H75" s="1"/>
      <c r="I75" s="1"/>
      <c r="J75" s="1"/>
      <c r="K75" s="14"/>
      <c r="L75" s="15"/>
      <c r="M75" s="1"/>
      <c r="N75" s="8"/>
      <c r="O75" s="8"/>
      <c r="P75" s="8"/>
      <c r="Q75" s="8"/>
      <c r="AB75" s="16">
        <f>SUM(AB3:AB74)</f>
        <v>28176957004.009998</v>
      </c>
    </row>
    <row r="76" spans="1:28" x14ac:dyDescent="0.25">
      <c r="AB76" s="16"/>
    </row>
    <row r="77" spans="1:28" x14ac:dyDescent="0.25">
      <c r="AB77" s="16"/>
    </row>
  </sheetData>
  <mergeCells count="1">
    <mergeCell ref="A1:XFD1"/>
  </mergeCells>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POAI - PA-2026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2025-01-29T02:07:15Z</dcterms:created>
  <dcterms:modified xsi:type="dcterms:W3CDTF">2026-06-10T17:24:48Z</dcterms:modified>
</cp:coreProperties>
</file>