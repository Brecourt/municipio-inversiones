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municipio-inversiones\plantillas\"/>
    </mc:Choice>
  </mc:AlternateContent>
  <xr:revisionPtr revIDLastSave="0" documentId="13_ncr:1_{B8066637-ECBF-4253-AAD8-BE9AD97C129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ndicadoresRadar" sheetId="1" r:id="rId1"/>
    <sheet name="IndicadoresPrograma" sheetId="2" r:id="rId2"/>
    <sheet name="MetasResultado" sheetId="3" r:id="rId3"/>
    <sheet name="INSTRUCCIONES" sheetId="4" r:id="rId4"/>
  </sheets>
  <definedNames>
    <definedName name="_xlnm._FilterDatabase" localSheetId="1" hidden="1">IndicadoresPrograma!$A$1:$N$2</definedName>
    <definedName name="_xlnm._FilterDatabase" localSheetId="0" hidden="1">IndicadoresRadar!$A$1:$E$2</definedName>
    <definedName name="_xlnm._FilterDatabase" localSheetId="2" hidden="1">MetasResultado!$A$1:$I$2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" l="1"/>
  <c r="H2" i="3"/>
  <c r="H5" i="3"/>
  <c r="H3" i="3"/>
</calcChain>
</file>

<file path=xl/sharedStrings.xml><?xml version="1.0" encoding="utf-8"?>
<sst xmlns="http://schemas.openxmlformats.org/spreadsheetml/2006/main" count="139" uniqueCount="112">
  <si>
    <t>ID Eje</t>
  </si>
  <si>
    <t>Nombre Eje (etiqueta corta)</t>
  </si>
  <si>
    <t>Logrado (%)</t>
  </si>
  <si>
    <t>Meta (%)</t>
  </si>
  <si>
    <t>Descripcion</t>
  </si>
  <si>
    <t>LE-1</t>
  </si>
  <si>
    <t>Promedio avance proyectos eje 1 — incluye educación, salud, cultura, deporte</t>
  </si>
  <si>
    <t>LE-2</t>
  </si>
  <si>
    <t>Promedio avance proyectos eje 2 — medio ambiente y agua</t>
  </si>
  <si>
    <t>LE-3</t>
  </si>
  <si>
    <t>Promedio avance proyectos eje 3 — vías, agro, turismo</t>
  </si>
  <si>
    <t>LE-4</t>
  </si>
  <si>
    <t>Promedio avance proyectos eje 4 — gobernabilidad y justicia</t>
  </si>
  <si>
    <t>⚠ ID Eje debe coincidir EXACTAMENTE con el ID Eje de la hoja EjesProgramas del archivo 01_PDM.xlsx  |  Logrado y Meta en porcentaje (0–100). El sistema genera el gráfico de radar automáticamente.</t>
  </si>
  <si>
    <t>ID Programa</t>
  </si>
  <si>
    <t>Nombre Indicador</t>
  </si>
  <si>
    <t>Tipo</t>
  </si>
  <si>
    <t>Unidad Medida</t>
  </si>
  <si>
    <t>Linea Base</t>
  </si>
  <si>
    <t>Meta Cuatrienio</t>
  </si>
  <si>
    <t>Logro 2024</t>
  </si>
  <si>
    <t>Logro 2025</t>
  </si>
  <si>
    <t>Logro 2026</t>
  </si>
  <si>
    <t>Logro 2027</t>
  </si>
  <si>
    <t>Fuente Verificacion</t>
  </si>
  <si>
    <t>Responsable</t>
  </si>
  <si>
    <t>Observaciones</t>
  </si>
  <si>
    <t>2201</t>
  </si>
  <si>
    <t>Estudiantes beneficiados con alimentación escolar</t>
  </si>
  <si>
    <t>Producto</t>
  </si>
  <si>
    <t>Estudiantes</t>
  </si>
  <si>
    <t>Informes Sec. Educación</t>
  </si>
  <si>
    <t>Sec. Educación</t>
  </si>
  <si>
    <t>Estudiantes con transporte escolar</t>
  </si>
  <si>
    <t>3301</t>
  </si>
  <si>
    <t>Personas capacitadas en cultura y artes</t>
  </si>
  <si>
    <t>Personas</t>
  </si>
  <si>
    <t>Actas de capacitación</t>
  </si>
  <si>
    <t>Sec. Cultura</t>
  </si>
  <si>
    <t>3202</t>
  </si>
  <si>
    <t>Árboles plantados</t>
  </si>
  <si>
    <t>Árboles</t>
  </si>
  <si>
    <t>Informes CAR</t>
  </si>
  <si>
    <t>Sec. Medio Ambiente</t>
  </si>
  <si>
    <t>2402</t>
  </si>
  <si>
    <t>Km vías terciarias intervenidos</t>
  </si>
  <si>
    <t>Km</t>
  </si>
  <si>
    <t>Informes Sec. Infraestructura</t>
  </si>
  <si>
    <t>Sec. Infraestructura</t>
  </si>
  <si>
    <t>1702</t>
  </si>
  <si>
    <t>Productores rurales asistidos técnicamente</t>
  </si>
  <si>
    <t>Productores</t>
  </si>
  <si>
    <t>Informes UMATA</t>
  </si>
  <si>
    <t>Sec. Agropecuaria</t>
  </si>
  <si>
    <t>4503</t>
  </si>
  <si>
    <t>Obras de reducción del riesgo realizadas</t>
  </si>
  <si>
    <t>Obras</t>
  </si>
  <si>
    <t>Actas de liquidación</t>
  </si>
  <si>
    <t>Sec. Gobierno</t>
  </si>
  <si>
    <t>⚠ ID Eje e ID Programa deben coincidir con 01_PDM.xlsx  |  Tipo: Producto / Resultado / Gestión / Impacto  |  Dejar VACÍO los logros de vigencias no cerradas.</t>
  </si>
  <si>
    <t>Nombre Meta de Resultado</t>
  </si>
  <si>
    <t>Indicador de Resultado</t>
  </si>
  <si>
    <t>Unidad</t>
  </si>
  <si>
    <t>Meta 2027</t>
  </si>
  <si>
    <t>Logro Acumulado</t>
  </si>
  <si>
    <t>% Avance</t>
  </si>
  <si>
    <t>Fuente</t>
  </si>
  <si>
    <t>Aumentar cobertura educativa básica al 95%</t>
  </si>
  <si>
    <t>Tasa de cobertura bruta educación básica</t>
  </si>
  <si>
    <t>%</t>
  </si>
  <si>
    <t>Aumentar áreas con manejo ambiental sostenible</t>
  </si>
  <si>
    <t>Hectáreas con manejo ambiental</t>
  </si>
  <si>
    <t>Ha</t>
  </si>
  <si>
    <t>Reducir tiempo de desplazamiento rural en 30%</t>
  </si>
  <si>
    <t>Tiempo promedio desplazamiento rural</t>
  </si>
  <si>
    <t>Min</t>
  </si>
  <si>
    <t>Encuesta movilidad</t>
  </si>
  <si>
    <t>Mantener índice de desempeño fiscal &gt; 70</t>
  </si>
  <si>
    <t>Índice de desempeño fiscal (DNP)</t>
  </si>
  <si>
    <t>Puntos</t>
  </si>
  <si>
    <t>DNP - Evaluación desempeño</t>
  </si>
  <si>
    <t>⚠ Columna '% Avance' se calcula automáticamente con fórmula. Meta de Resultado = objetivo cuatrienal macro del eje estratégico.</t>
  </si>
  <si>
    <t>05_IndicadoresPDM.xlsx — Plantilla Indicadores Plan de Desarrollo Municipal</t>
  </si>
  <si>
    <t>Diligenciar para alimentar el módulo de Indicadores PDM en el sistema de seguimiento.</t>
  </si>
  <si>
    <t>📋 Hojas incluidas</t>
  </si>
  <si>
    <t>IndicadoresRadar</t>
  </si>
  <si>
    <t>Datos del gráfico de araña: logrado vs meta por eje. 1 fila = 1 eje.</t>
  </si>
  <si>
    <t>IndicadoresPrograma</t>
  </si>
  <si>
    <t>Indicadores de producto por programa: línea base, metas anuales y logros.</t>
  </si>
  <si>
    <t>MetasResultado</t>
  </si>
  <si>
    <t>Metas de resultado cuatrienales por eje con % de avance automático.</t>
  </si>
  <si>
    <t>📌 Fuentes de información</t>
  </si>
  <si>
    <t>PDM Texto</t>
  </si>
  <si>
    <t>Fichas de indicadores del Plan de Desarrollo — capítulo de seguimiento.</t>
  </si>
  <si>
    <t>SUIFP / DIFP</t>
  </si>
  <si>
    <t>Sistema Unificado de Inversiones: https://suifp.dnp.gov.co</t>
  </si>
  <si>
    <t>Secretarías</t>
  </si>
  <si>
    <t>Informes de gestión y seguimiento trimestrales de cada secretaría.</t>
  </si>
  <si>
    <t>SISMEG / SINERGIA</t>
  </si>
  <si>
    <t>Sistema de Seguimiento a Metas de Gobierno para indicadores nacionales.</t>
  </si>
  <si>
    <t>⚠ Reglas obligatorias</t>
  </si>
  <si>
    <t>ID Eje / ID Programa</t>
  </si>
  <si>
    <t>Deben coincidir EXACTAMENTE con los IDs del archivo 01_PDM.xlsx.</t>
  </si>
  <si>
    <t>En IndicadoresRadar: número 0–100. En IndicadoresPrograma: valor absoluto.</t>
  </si>
  <si>
    <t>Vigencias futuras</t>
  </si>
  <si>
    <t>Dejar VACÍO (celda en blanco) para años no cerrados — NO escribir 0.</t>
  </si>
  <si>
    <t>BPIN en proyectos</t>
  </si>
  <si>
    <t>14 dígitos numéricos. Formato visual: XXXX-XXXXXXXXXX (4-10). Fuente: SUIFP.</t>
  </si>
  <si>
    <t>FRONTINO NOS UNE CON TEJIDO SOCIAL, INCLUSIÓN Y RECONCILIACIÓN</t>
  </si>
  <si>
    <t>FRONTINO NOS UNE CON SOSTENIBILIDAD AMBIENTAL Y DESARROLLO SUSTENTABLE</t>
  </si>
  <si>
    <t>FRONTINO NOS UNE CON COMPETITIVIDAD Y DESARROLLO ECONÓMICO LOCAL</t>
  </si>
  <si>
    <t>FRONTINO NOS UNE CON BUEN GOBIERNO, GOBERNANZA Y GOBERNABILIDAD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</si>
</sst>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856404"/>
      <name val="Arial"/>
    </font>
    <font>
      <b/>
      <sz val="13"/>
      <color rgb="FF1E3A5F"/>
      <name val="Arial"/>
    </font>
    <font>
      <i/>
      <sz val="10"/>
      <color rgb="FF374151"/>
      <name val="Arial"/>
    </font>
    <font>
      <b/>
      <sz val="11"/>
      <color rgb="FF2563EB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2FA"/>
      </patternFill>
    </fill>
    <fill>
      <patternFill patternType="solid">
        <fgColor rgb="FFFFF3CD"/>
      </patternFill>
    </fill>
    <fill>
      <patternFill patternType="solid">
        <fgColor rgb="FFDBEAFE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7" fillId="0" borderId="0" xfId="0" applyFont="1"/>
    <xf numFmtId="0" fontId="2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/>
    <xf numFmtId="0" fontId="6" fillId="5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63EB"/>
  </sheetPr>
  <dimension ref="A1:E7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9.140625" defaultRowHeight="15" x14ac:dyDescent="0.25"/>
  <cols>
    <col min="1" max="1" width="16" customWidth="1"/>
    <col min="2" max="2" width="35" customWidth="1"/>
    <col min="3" max="3" width="16" customWidth="1"/>
    <col min="4" max="4" width="14" customWidth="1"/>
    <col min="5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8.25" x14ac:dyDescent="0.25">
      <c r="A2" s="2" t="s">
        <v>5</v>
      </c>
      <c r="B2" s="2" t="s">
        <v>108</v>
      </c>
      <c r="C2" s="3">
        <v>48</v>
      </c>
      <c r="D2" s="3">
        <v>100</v>
      </c>
      <c r="E2" s="2" t="s">
        <v>6</v>
      </c>
    </row>
    <row r="3" spans="1:5" ht="38.25" x14ac:dyDescent="0.25">
      <c r="A3" s="4" t="s">
        <v>7</v>
      </c>
      <c r="B3" s="4" t="s">
        <v>109</v>
      </c>
      <c r="C3" s="5">
        <v>52.6</v>
      </c>
      <c r="D3" s="5">
        <v>100</v>
      </c>
      <c r="E3" s="4" t="s">
        <v>8</v>
      </c>
    </row>
    <row r="4" spans="1:5" ht="38.25" x14ac:dyDescent="0.25">
      <c r="A4" s="2" t="s">
        <v>9</v>
      </c>
      <c r="B4" s="2" t="s">
        <v>110</v>
      </c>
      <c r="C4" s="3">
        <v>44.6</v>
      </c>
      <c r="D4" s="3">
        <v>100</v>
      </c>
      <c r="E4" s="2" t="s">
        <v>10</v>
      </c>
    </row>
    <row r="5" spans="1:5" ht="38.25" x14ac:dyDescent="0.25">
      <c r="A5" s="4" t="s">
        <v>11</v>
      </c>
      <c r="B5" s="4" t="s">
        <v>111</v>
      </c>
      <c r="C5" s="5">
        <v>55.2</v>
      </c>
      <c r="D5" s="5">
        <v>100</v>
      </c>
      <c r="E5" s="4" t="s">
        <v>12</v>
      </c>
    </row>
    <row r="7" spans="1:5" ht="36.75" customHeight="1" x14ac:dyDescent="0.25">
      <c r="A7" s="8" t="s">
        <v>13</v>
      </c>
      <c r="B7" s="9"/>
      <c r="C7" s="9"/>
      <c r="D7" s="9"/>
      <c r="E7" s="9"/>
    </row>
  </sheetData>
  <autoFilter ref="A1:E2" xr:uid="{00000000-0009-0000-0000-000000000000}"/>
  <mergeCells count="1"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59669"/>
  </sheetPr>
  <dimension ref="A1:N10"/>
  <sheetViews>
    <sheetView workbookViewId="0">
      <pane ySplit="1" topLeftCell="A2" activePane="bottomLeft" state="frozen"/>
      <selection pane="bottomLeft" activeCell="E5" sqref="E5"/>
    </sheetView>
  </sheetViews>
  <sheetFormatPr baseColWidth="10" defaultColWidth="9.140625" defaultRowHeight="15" x14ac:dyDescent="0.25"/>
  <cols>
    <col min="1" max="1" width="14" customWidth="1"/>
    <col min="2" max="2" width="16" customWidth="1"/>
    <col min="3" max="3" width="50" customWidth="1"/>
    <col min="4" max="5" width="18" customWidth="1"/>
    <col min="6" max="6" width="16" customWidth="1"/>
    <col min="7" max="7" width="18" customWidth="1"/>
    <col min="8" max="11" width="14" customWidth="1"/>
    <col min="12" max="12" width="35" customWidth="1"/>
    <col min="13" max="13" width="30" customWidth="1"/>
    <col min="14" max="14" width="40" customWidth="1"/>
  </cols>
  <sheetData>
    <row r="1" spans="1:14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4" x14ac:dyDescent="0.25">
      <c r="A2" s="2" t="s">
        <v>5</v>
      </c>
      <c r="B2" s="2" t="s">
        <v>27</v>
      </c>
      <c r="C2" s="2" t="s">
        <v>28</v>
      </c>
      <c r="D2" s="2" t="s">
        <v>29</v>
      </c>
      <c r="E2" s="2" t="s">
        <v>30</v>
      </c>
      <c r="F2" s="2">
        <v>10500</v>
      </c>
      <c r="G2" s="2">
        <v>14000</v>
      </c>
      <c r="H2" s="2">
        <v>11200</v>
      </c>
      <c r="I2" s="2">
        <v>12800</v>
      </c>
      <c r="J2" s="2">
        <v>13500</v>
      </c>
      <c r="K2" s="2">
        <v>14000</v>
      </c>
      <c r="L2" s="2" t="s">
        <v>31</v>
      </c>
      <c r="M2" s="2" t="s">
        <v>32</v>
      </c>
      <c r="N2" s="2"/>
    </row>
    <row r="3" spans="1:14" x14ac:dyDescent="0.25">
      <c r="A3" s="4" t="s">
        <v>5</v>
      </c>
      <c r="B3" s="4" t="s">
        <v>27</v>
      </c>
      <c r="C3" s="4" t="s">
        <v>33</v>
      </c>
      <c r="D3" s="4" t="s">
        <v>29</v>
      </c>
      <c r="E3" s="4" t="s">
        <v>30</v>
      </c>
      <c r="F3" s="4">
        <v>900</v>
      </c>
      <c r="G3" s="4">
        <v>1200</v>
      </c>
      <c r="H3" s="4">
        <v>950</v>
      </c>
      <c r="I3" s="4">
        <v>1050</v>
      </c>
      <c r="J3" s="4">
        <v>1150</v>
      </c>
      <c r="K3" s="4">
        <v>1200</v>
      </c>
      <c r="L3" s="4" t="s">
        <v>31</v>
      </c>
      <c r="M3" s="4" t="s">
        <v>32</v>
      </c>
      <c r="N3" s="4"/>
    </row>
    <row r="4" spans="1:14" x14ac:dyDescent="0.25">
      <c r="A4" s="2" t="s">
        <v>5</v>
      </c>
      <c r="B4" s="2" t="s">
        <v>34</v>
      </c>
      <c r="C4" s="2" t="s">
        <v>35</v>
      </c>
      <c r="D4" s="2" t="s">
        <v>29</v>
      </c>
      <c r="E4" s="2" t="s">
        <v>36</v>
      </c>
      <c r="F4" s="2">
        <v>200</v>
      </c>
      <c r="G4" s="2">
        <v>800</v>
      </c>
      <c r="H4" s="2">
        <v>250</v>
      </c>
      <c r="I4" s="2">
        <v>400</v>
      </c>
      <c r="J4" s="2">
        <v>600</v>
      </c>
      <c r="K4" s="2">
        <v>800</v>
      </c>
      <c r="L4" s="2" t="s">
        <v>37</v>
      </c>
      <c r="M4" s="2" t="s">
        <v>38</v>
      </c>
      <c r="N4" s="2"/>
    </row>
    <row r="5" spans="1:14" x14ac:dyDescent="0.25">
      <c r="A5" s="4" t="s">
        <v>7</v>
      </c>
      <c r="B5" s="4" t="s">
        <v>39</v>
      </c>
      <c r="C5" s="4" t="s">
        <v>40</v>
      </c>
      <c r="D5" s="4" t="s">
        <v>29</v>
      </c>
      <c r="E5" s="4" t="s">
        <v>41</v>
      </c>
      <c r="F5" s="4">
        <v>0</v>
      </c>
      <c r="G5" s="4">
        <v>10000</v>
      </c>
      <c r="H5" s="4">
        <v>2500</v>
      </c>
      <c r="I5" s="4">
        <v>5000</v>
      </c>
      <c r="J5" s="4">
        <v>7500</v>
      </c>
      <c r="K5" s="4">
        <v>10000</v>
      </c>
      <c r="L5" s="4" t="s">
        <v>42</v>
      </c>
      <c r="M5" s="4" t="s">
        <v>43</v>
      </c>
      <c r="N5" s="4"/>
    </row>
    <row r="6" spans="1:14" x14ac:dyDescent="0.25">
      <c r="A6" s="2" t="s">
        <v>9</v>
      </c>
      <c r="B6" s="2" t="s">
        <v>44</v>
      </c>
      <c r="C6" s="2" t="s">
        <v>45</v>
      </c>
      <c r="D6" s="2" t="s">
        <v>29</v>
      </c>
      <c r="E6" s="2" t="s">
        <v>46</v>
      </c>
      <c r="F6" s="2">
        <v>0</v>
      </c>
      <c r="G6" s="2">
        <v>4000</v>
      </c>
      <c r="H6" s="2">
        <v>800</v>
      </c>
      <c r="I6" s="2">
        <v>2000</v>
      </c>
      <c r="J6" s="2">
        <v>3200</v>
      </c>
      <c r="K6" s="2">
        <v>4000</v>
      </c>
      <c r="L6" s="2" t="s">
        <v>47</v>
      </c>
      <c r="M6" s="2" t="s">
        <v>48</v>
      </c>
      <c r="N6" s="2"/>
    </row>
    <row r="7" spans="1:14" x14ac:dyDescent="0.25">
      <c r="A7" s="4" t="s">
        <v>9</v>
      </c>
      <c r="B7" s="4" t="s">
        <v>49</v>
      </c>
      <c r="C7" s="4" t="s">
        <v>50</v>
      </c>
      <c r="D7" s="4" t="s">
        <v>29</v>
      </c>
      <c r="E7" s="4" t="s">
        <v>51</v>
      </c>
      <c r="F7" s="4">
        <v>150</v>
      </c>
      <c r="G7" s="4">
        <v>1000</v>
      </c>
      <c r="H7" s="4">
        <v>200</v>
      </c>
      <c r="I7" s="4">
        <v>500</v>
      </c>
      <c r="J7" s="4">
        <v>750</v>
      </c>
      <c r="K7" s="4">
        <v>1000</v>
      </c>
      <c r="L7" s="4" t="s">
        <v>52</v>
      </c>
      <c r="M7" s="4" t="s">
        <v>53</v>
      </c>
      <c r="N7" s="4"/>
    </row>
    <row r="8" spans="1:14" x14ac:dyDescent="0.25">
      <c r="A8" s="2" t="s">
        <v>11</v>
      </c>
      <c r="B8" s="2" t="s">
        <v>54</v>
      </c>
      <c r="C8" s="2" t="s">
        <v>55</v>
      </c>
      <c r="D8" s="2" t="s">
        <v>29</v>
      </c>
      <c r="E8" s="2" t="s">
        <v>56</v>
      </c>
      <c r="F8" s="2">
        <v>0</v>
      </c>
      <c r="G8" s="2">
        <v>4</v>
      </c>
      <c r="H8" s="2">
        <v>1</v>
      </c>
      <c r="I8" s="2">
        <v>2</v>
      </c>
      <c r="J8" s="2">
        <v>3</v>
      </c>
      <c r="K8" s="2">
        <v>4</v>
      </c>
      <c r="L8" s="2" t="s">
        <v>57</v>
      </c>
      <c r="M8" s="2" t="s">
        <v>58</v>
      </c>
      <c r="N8" s="2"/>
    </row>
    <row r="10" spans="1:14" x14ac:dyDescent="0.25">
      <c r="A10" s="8" t="s">
        <v>59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</sheetData>
  <autoFilter ref="A1:N2" xr:uid="{00000000-0009-0000-0000-000001000000}"/>
  <mergeCells count="1">
    <mergeCell ref="A10:N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C3AED"/>
  </sheetPr>
  <dimension ref="A1:I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55" customWidth="1"/>
    <col min="3" max="3" width="45" customWidth="1"/>
    <col min="4" max="4" width="18" customWidth="1"/>
    <col min="5" max="5" width="16" customWidth="1"/>
    <col min="6" max="6" width="14" customWidth="1"/>
    <col min="7" max="7" width="18" customWidth="1"/>
    <col min="8" max="8" width="14" customWidth="1"/>
    <col min="9" max="9" width="35" customWidth="1"/>
  </cols>
  <sheetData>
    <row r="1" spans="1:9" x14ac:dyDescent="0.25">
      <c r="A1" s="1" t="s">
        <v>0</v>
      </c>
      <c r="B1" s="1" t="s">
        <v>60</v>
      </c>
      <c r="C1" s="1" t="s">
        <v>61</v>
      </c>
      <c r="D1" s="1" t="s">
        <v>62</v>
      </c>
      <c r="E1" s="1" t="s">
        <v>18</v>
      </c>
      <c r="F1" s="1" t="s">
        <v>63</v>
      </c>
      <c r="G1" s="1" t="s">
        <v>64</v>
      </c>
      <c r="H1" s="1" t="s">
        <v>65</v>
      </c>
      <c r="I1" s="1" t="s">
        <v>66</v>
      </c>
    </row>
    <row r="2" spans="1:9" x14ac:dyDescent="0.25">
      <c r="A2" s="2" t="s">
        <v>5</v>
      </c>
      <c r="B2" s="2" t="s">
        <v>67</v>
      </c>
      <c r="C2" s="2" t="s">
        <v>68</v>
      </c>
      <c r="D2" s="2" t="s">
        <v>69</v>
      </c>
      <c r="E2" s="2">
        <v>88.2</v>
      </c>
      <c r="F2" s="2">
        <v>95</v>
      </c>
      <c r="G2" s="2">
        <v>89.5</v>
      </c>
      <c r="H2" s="2" t="str">
        <f ca="1">IF(H2&gt;0,TEXT(G2/F2*100,"0.0")&amp;"%","0%")</f>
        <v/>
      </c>
      <c r="I2" s="2" t="s">
        <v>31</v>
      </c>
    </row>
    <row r="3" spans="1:9" x14ac:dyDescent="0.25">
      <c r="A3" s="4" t="s">
        <v>7</v>
      </c>
      <c r="B3" s="4" t="s">
        <v>70</v>
      </c>
      <c r="C3" s="4" t="s">
        <v>71</v>
      </c>
      <c r="D3" s="4" t="s">
        <v>72</v>
      </c>
      <c r="E3" s="4">
        <v>120</v>
      </c>
      <c r="F3" s="4">
        <v>500</v>
      </c>
      <c r="G3" s="4">
        <v>185</v>
      </c>
      <c r="H3" s="4" t="str">
        <f ca="1">IF(H3&gt;0,TEXT(G3/F3*100,"0.0")&amp;"%","0%")</f>
        <v/>
      </c>
      <c r="I3" s="4" t="s">
        <v>42</v>
      </c>
    </row>
    <row r="4" spans="1:9" x14ac:dyDescent="0.25">
      <c r="A4" s="2" t="s">
        <v>9</v>
      </c>
      <c r="B4" s="2" t="s">
        <v>73</v>
      </c>
      <c r="C4" s="2" t="s">
        <v>74</v>
      </c>
      <c r="D4" s="2" t="s">
        <v>75</v>
      </c>
      <c r="E4" s="2">
        <v>95</v>
      </c>
      <c r="F4" s="2">
        <v>66</v>
      </c>
      <c r="G4" s="2">
        <v>88</v>
      </c>
      <c r="H4" s="2" t="str">
        <f ca="1">IF(H4&gt;0,TEXT(G4/F4*100,"0.0")&amp;"%","0%")</f>
        <v/>
      </c>
      <c r="I4" s="2" t="s">
        <v>76</v>
      </c>
    </row>
    <row r="5" spans="1:9" x14ac:dyDescent="0.25">
      <c r="A5" s="4" t="s">
        <v>11</v>
      </c>
      <c r="B5" s="4" t="s">
        <v>77</v>
      </c>
      <c r="C5" s="4" t="s">
        <v>78</v>
      </c>
      <c r="D5" s="4" t="s">
        <v>79</v>
      </c>
      <c r="E5" s="4">
        <v>68.400000000000006</v>
      </c>
      <c r="F5" s="4">
        <v>70</v>
      </c>
      <c r="G5" s="4">
        <v>69.2</v>
      </c>
      <c r="H5" s="4" t="str">
        <f ca="1">IF(H5&gt;0,TEXT(G5/F5*100,"0.0")&amp;"%","0%")</f>
        <v/>
      </c>
      <c r="I5" s="4" t="s">
        <v>80</v>
      </c>
    </row>
    <row r="7" spans="1:9" x14ac:dyDescent="0.25">
      <c r="A7" s="8" t="s">
        <v>81</v>
      </c>
      <c r="B7" s="9"/>
      <c r="C7" s="9"/>
      <c r="D7" s="9"/>
      <c r="E7" s="9"/>
      <c r="F7" s="9"/>
      <c r="G7" s="9"/>
      <c r="H7" s="9"/>
      <c r="I7" s="9"/>
    </row>
  </sheetData>
  <autoFilter ref="A1:I2" xr:uid="{00000000-0009-0000-0000-000002000000}"/>
  <mergeCells count="1">
    <mergeCell ref="A7:I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B7280"/>
  </sheetPr>
  <dimension ref="A1:B19"/>
  <sheetViews>
    <sheetView workbookViewId="0">
      <selection sqref="A1:B1"/>
    </sheetView>
  </sheetViews>
  <sheetFormatPr baseColWidth="10" defaultColWidth="9.140625" defaultRowHeight="15" x14ac:dyDescent="0.25"/>
  <cols>
    <col min="1" max="1" width="25" customWidth="1"/>
    <col min="2" max="2" width="70" customWidth="1"/>
  </cols>
  <sheetData>
    <row r="1" spans="1:2" ht="30" customHeight="1" x14ac:dyDescent="0.25">
      <c r="A1" s="12" t="s">
        <v>82</v>
      </c>
      <c r="B1" s="9"/>
    </row>
    <row r="2" spans="1:2" x14ac:dyDescent="0.25">
      <c r="A2" s="11" t="s">
        <v>83</v>
      </c>
      <c r="B2" s="9"/>
    </row>
    <row r="4" spans="1:2" x14ac:dyDescent="0.25">
      <c r="A4" s="10" t="s">
        <v>84</v>
      </c>
      <c r="B4" s="9"/>
    </row>
    <row r="5" spans="1:2" x14ac:dyDescent="0.25">
      <c r="A5" s="6" t="s">
        <v>85</v>
      </c>
      <c r="B5" s="7" t="s">
        <v>86</v>
      </c>
    </row>
    <row r="6" spans="1:2" x14ac:dyDescent="0.25">
      <c r="A6" s="6" t="s">
        <v>87</v>
      </c>
      <c r="B6" s="7" t="s">
        <v>88</v>
      </c>
    </row>
    <row r="7" spans="1:2" x14ac:dyDescent="0.25">
      <c r="A7" s="6" t="s">
        <v>89</v>
      </c>
      <c r="B7" s="7" t="s">
        <v>90</v>
      </c>
    </row>
    <row r="9" spans="1:2" x14ac:dyDescent="0.25">
      <c r="A9" s="10" t="s">
        <v>91</v>
      </c>
      <c r="B9" s="9"/>
    </row>
    <row r="10" spans="1:2" x14ac:dyDescent="0.25">
      <c r="A10" s="6" t="s">
        <v>92</v>
      </c>
      <c r="B10" s="7" t="s">
        <v>93</v>
      </c>
    </row>
    <row r="11" spans="1:2" x14ac:dyDescent="0.25">
      <c r="A11" s="6" t="s">
        <v>94</v>
      </c>
      <c r="B11" s="7" t="s">
        <v>95</v>
      </c>
    </row>
    <row r="12" spans="1:2" x14ac:dyDescent="0.25">
      <c r="A12" s="6" t="s">
        <v>96</v>
      </c>
      <c r="B12" s="7" t="s">
        <v>97</v>
      </c>
    </row>
    <row r="13" spans="1:2" x14ac:dyDescent="0.25">
      <c r="A13" s="6" t="s">
        <v>98</v>
      </c>
      <c r="B13" s="7" t="s">
        <v>99</v>
      </c>
    </row>
    <row r="15" spans="1:2" x14ac:dyDescent="0.25">
      <c r="A15" s="10" t="s">
        <v>100</v>
      </c>
      <c r="B15" s="9"/>
    </row>
    <row r="16" spans="1:2" x14ac:dyDescent="0.25">
      <c r="A16" s="6" t="s">
        <v>101</v>
      </c>
      <c r="B16" s="7" t="s">
        <v>102</v>
      </c>
    </row>
    <row r="17" spans="1:2" x14ac:dyDescent="0.25">
      <c r="A17" s="6" t="s">
        <v>2</v>
      </c>
      <c r="B17" s="7" t="s">
        <v>103</v>
      </c>
    </row>
    <row r="18" spans="1:2" x14ac:dyDescent="0.25">
      <c r="A18" s="6" t="s">
        <v>104</v>
      </c>
      <c r="B18" s="7" t="s">
        <v>105</v>
      </c>
    </row>
    <row r="19" spans="1:2" x14ac:dyDescent="0.25">
      <c r="A19" s="6" t="s">
        <v>106</v>
      </c>
      <c r="B19" s="7" t="s">
        <v>107</v>
      </c>
    </row>
  </sheetData>
  <mergeCells count="5">
    <mergeCell ref="A4:B4"/>
    <mergeCell ref="A2:B2"/>
    <mergeCell ref="A15:B15"/>
    <mergeCell ref="A1:B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IndicadoresRadar</vt:lpstr>
      <vt:lpstr>IndicadoresPrograma</vt:lpstr>
      <vt:lpstr>MetasResultado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2026-04-17T17:14:35Z</dcterms:created>
  <dcterms:modified xsi:type="dcterms:W3CDTF">2026-05-12T15:19:05Z</dcterms:modified>
</cp:coreProperties>
</file>