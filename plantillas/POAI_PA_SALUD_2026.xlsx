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min\Desktop\PAA_2026\"/>
    </mc:Choice>
  </mc:AlternateContent>
  <xr:revisionPtr revIDLastSave="0" documentId="13_ncr:1_{F093DB99-630D-4AE7-B522-141863A26837}" xr6:coauthVersionLast="47" xr6:coauthVersionMax="47" xr10:uidLastSave="{00000000-0000-0000-0000-000000000000}"/>
  <bookViews>
    <workbookView xWindow="-120" yWindow="-120" windowWidth="29040" windowHeight="17520" xr2:uid="{E677481D-6CBE-4C22-B0F0-B717D33FB5A6}"/>
  </bookViews>
  <sheets>
    <sheet name="POAI - PA - 2026" sheetId="1" r:id="rId1"/>
  </sheets>
  <definedNames>
    <definedName name="_xlnm._FilterDatabase" localSheetId="0" hidden="1">'POAI - PA - 2026'!$A$2:$AB$20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8" i="1" l="1"/>
  <c r="AB12" i="1" l="1"/>
  <c r="AB18" i="1"/>
  <c r="AB11" i="1"/>
  <c r="AB19" i="1"/>
  <c r="AB14" i="1"/>
  <c r="AB6" i="1"/>
  <c r="AB7" i="1"/>
  <c r="AB5" i="1" l="1"/>
  <c r="AB15" i="1"/>
  <c r="AB13" i="1"/>
  <c r="AB17" i="1"/>
  <c r="AB4" i="1"/>
  <c r="AB3" i="1"/>
  <c r="AB10" i="1"/>
  <c r="AB16" i="1"/>
  <c r="AB9" i="1"/>
  <c r="AB20" i="1" l="1"/>
  <c r="J5" i="1"/>
  <c r="J9" i="1"/>
  <c r="J12" i="1"/>
  <c r="J13" i="1"/>
  <c r="J14" i="1"/>
  <c r="J19" i="1"/>
</calcChain>
</file>

<file path=xl/sharedStrings.xml><?xml version="1.0" encoding="utf-8"?>
<sst xmlns="http://schemas.openxmlformats.org/spreadsheetml/2006/main" count="148" uniqueCount="85">
  <si>
    <t>Cod. Indicador de Producto</t>
  </si>
  <si>
    <t>Meta Cuatrienio</t>
  </si>
  <si>
    <t>BPIM</t>
  </si>
  <si>
    <t>Encuentros educativos, foros, redes familiares creadas, centros de orientación y zonas de escucha, implementación de estrategia Salud para el Alma en prevención de consumo de SPA. Acciones de Atención Primaria en Salud (PTS)</t>
  </si>
  <si>
    <t>Encuentros educativos, foros, centros de orientación y zonas de escucha, semana andina de la prevención del embarazo en adolescentes, acompañar la implementación la estrategia servicios amigables para adolescentes. Acciones de Atención primaria en Salud (PTS)</t>
  </si>
  <si>
    <t>Operativización de la política municipal de Salud mental y prevención de Consumo de Sustancias Psicoactivas. Estrategia de salud mental “ConscienTÉmente”, programa radial “En la Cocina con Gaby”. Atención primaria en Salud (PTS)</t>
  </si>
  <si>
    <t>Acciones de Prevención de enfermedades generadas por sustancias químicas, por animales (zoonosis), vectores de contaminación en el aire y el agua, entre otros factores. Campaña de separación de residuos, uso consciente de la bolsa.</t>
  </si>
  <si>
    <t>Implementación de estrategias de educación en el entorno laboral formal e informal, bajo la estrategia de Atención Primaria en Salud.</t>
  </si>
  <si>
    <t xml:space="preserve">Encuentros educativos, talleres, estrategia Información, Educación y Comunicación para la Salud-IEC, estrategia de Atención Primaria en Salud con acciones de prevención, control y eliminación de las enfermedades infecciosas, ETAS Enfermedades transmitidas por alimentos, infecciones asociadas a la atención de la salud IAAS, Tuberculosis, lepra o enfermedad de Hansen, infección respiratoria aguda, enfermedad diarreica aguda) </t>
  </si>
  <si>
    <t xml:space="preserve">Vacunación sin barreras, monitoreo rápido de cobertura y búsqueda activa comunitaria. Atención Primaria en Salud (PTS) </t>
  </si>
  <si>
    <t xml:space="preserve">Articulación sectorial, intersectorial y transectorial enfocados en la Seguridad Alimentaria y Nutricional por medio de la estrategia “Mercados Campesinos” implementación de la política pública de Seguridad Alimentaria y nutricional. </t>
  </si>
  <si>
    <t>Carnaval de la salud por corregimientos, Jornadas de Salud, fortalecimiento de la política pública Vejez y Envejecimiento Saludable, creación y fortalecimiento de los Clubes de la salud. Atención Primaria en Salud (PTS)</t>
  </si>
  <si>
    <t xml:space="preserve">Registro de Localización y Caracterización de las Personas Con Discapacidad y generación de certificado de discapacidad. </t>
  </si>
  <si>
    <t>Fortalecimiento de los espacios de Participación Social en Salud. Implementación de la Política Pública de Participación Social en salud con sus 5 ejes principales. Fortalecimiento e implementación de las Políticas Públicas adoptadas por la entidad Territorial y la operativización de los comités.</t>
  </si>
  <si>
    <t>Programas radiales, estrategias publicitarias, jornadas de salud, tamizajes,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acciones de Atención Primaria en Salud</t>
  </si>
  <si>
    <t>Plan Territorial de Salud, armonizado al Plan Decenal de Salud Pública.Planes de Acción en Salud (PAS) y Componentes Operativos Anuales, construidos y actualizados. Documento del Análisis de la Situación de Salud del Municipio de Frontino (ASIS) actualizado.</t>
  </si>
  <si>
    <t>Servicio de suministro de insumos para el manejo de eventos de interés en salud pública, garantizando la adquisición, distribución y suministro oportuno de los insumos de interés en salud pública, dentro de los cuales se incluyen los biológicos, insumos críticos para el control de vectores, los medicamentos para el manejo de los esquemas básicos de las enfermedades transmisibles y de control especial.</t>
  </si>
  <si>
    <t>Servicios de gestión territorial para atención en salud -pandemias- a población afectada por emergencias o desastres. (Incluye acciones intersectoriales de salud pública, implementación de los planes de preparación y respuesta ante este riesgo)</t>
  </si>
  <si>
    <t>Sistemas de información en salud y en Vigilancia en Salud Pública, que aseguren la disposición de la información de manera accesible, confiable y oportuna.</t>
  </si>
  <si>
    <t>1.1.2 Aseguramiento y prestación integral de servicios humanizados de salud (1906)</t>
  </si>
  <si>
    <t xml:space="preserve">Acciones de afiliación de la población al régimen subsidiado conforme a las condiciones del Sistema General de Seguridad Social; registro, reporte, sistematización y seguimiento de afiliados en los sistemas de información correspondientes y en el manejo de los recursos. </t>
  </si>
  <si>
    <t>Programa</t>
  </si>
  <si>
    <t>1.1.1 Salud Pública y Protección Social (1905)</t>
  </si>
  <si>
    <t>Cod Programa</t>
  </si>
  <si>
    <t>Linea</t>
  </si>
  <si>
    <t>LE-1</t>
  </si>
  <si>
    <t>Componente</t>
  </si>
  <si>
    <t>1.1. Salud Mía - Salud Protección Social para los Frontineños (19)</t>
  </si>
  <si>
    <t>Actividades - Acciones - Estrategias</t>
  </si>
  <si>
    <t>Dependencia Responsable</t>
  </si>
  <si>
    <t>Secretaría de Salud y Proteccion Social</t>
  </si>
  <si>
    <t xml:space="preserve">Recursos Propios </t>
  </si>
  <si>
    <t xml:space="preserve">SGP Alimentacion Escolar </t>
  </si>
  <si>
    <t xml:space="preserve">SGP APSB </t>
  </si>
  <si>
    <t xml:space="preserve">SGP Cultura </t>
  </si>
  <si>
    <t xml:space="preserve">SGP Deporte </t>
  </si>
  <si>
    <t xml:space="preserve">SGP Educacion </t>
  </si>
  <si>
    <t xml:space="preserve">SGP Libre Destinación </t>
  </si>
  <si>
    <t xml:space="preserve">SGP Libre Inversion </t>
  </si>
  <si>
    <t xml:space="preserve"> SGP Salud </t>
  </si>
  <si>
    <t xml:space="preserve"> Regalías </t>
  </si>
  <si>
    <t>Cofinanciación Departamento</t>
  </si>
  <si>
    <t>Cofinanciación Nacion</t>
  </si>
  <si>
    <t>Credito</t>
  </si>
  <si>
    <t>Otros</t>
  </si>
  <si>
    <t>TOTAL</t>
  </si>
  <si>
    <t>Indicador MGA</t>
  </si>
  <si>
    <t>Campañas de gestión del riesgo en temas de consumo de sustancias psicoactivas implementadas</t>
  </si>
  <si>
    <t>Campañas de gestión del riesgo en temas de salud sexual y reproductiva implementadas</t>
  </si>
  <si>
    <t>Campañas de gestión del riesgo en temas de trastornos mentales implementadas</t>
  </si>
  <si>
    <t>Campañas de gestión del riesgo para abordar situaciones de salud relacionadas con condiciones ambientales implementadas</t>
  </si>
  <si>
    <t>Campañas de gestión del riesgo para abordar situaciones prevalentes de origen laboral implementadas</t>
  </si>
  <si>
    <t>Campañas de gestión del riesgo para enfermedades emergentes, reemergentes y desatendidas implementadas</t>
  </si>
  <si>
    <t>Campañas de gestión del riesgo para enfermedades inmunoprevenibles  implementadas</t>
  </si>
  <si>
    <t>Campañas de gestión del riesgo para temas de consumo, aprovechamiento biológico, calidad e inocuidad de los alimentos implementadas</t>
  </si>
  <si>
    <t>Campañas de promoción de la salud  y prevención de riesgos asociados a condiciones no transmisibles implementadas</t>
  </si>
  <si>
    <t>Valoraciones multidisciplinarias realizadas</t>
  </si>
  <si>
    <t>Estrategias de promoción de la participación social en salud implementadas</t>
  </si>
  <si>
    <t>Estrategias de promoción de la salud implementadas</t>
  </si>
  <si>
    <t>Planes de salud pública elaborados</t>
  </si>
  <si>
    <t>Entidades territoriales con servicio de suministro de insumos para el manejo de eventos de interés en salud pública</t>
  </si>
  <si>
    <t>Estrategias de gestión territorial para atención en salud -pandemias- a población afectada por emergencias o desastres implementadas</t>
  </si>
  <si>
    <t>Sistemas de información implementados</t>
  </si>
  <si>
    <t>Personas afiliadas al régimen subsidiado</t>
  </si>
  <si>
    <t>Descripcion Indicador PDM</t>
  </si>
  <si>
    <t>Meta 2026</t>
  </si>
  <si>
    <t>Producto MGA</t>
  </si>
  <si>
    <t>RS - E4 Atención Primaria Salud - L3 Cuidado de la Salud - Transferencias Afiliación  -  SGP  Regimen subsidiado
RS - E4 Atención Primaria Salud - L3 Cuidado de la Salud - Transferencias Afiliación  -  ADRES 
RS - E4 Atención Primaria Salud - L3 Cuidado de la Salud - Transferencias Afiliación - Coljuegos  75%
RS - E4 Atención Primaria Salud - L3 Cuidado de la Salud - Transferencias Afiliación   -  Rentas del Departamento
RS - E1 Gobernabilidad y Gobernanza - L1 Desarrollo Institucional y Sectorial - Supersalud
PS - E4 Atención Primaria Salud - L3 Cuidado de la Salud - ESE Bajo Nivel Complejidad</t>
  </si>
  <si>
    <t xml:space="preserve">Formulación y adopción de Modelos en Planeación integral en Salud y Desarrollo Institucional con Planes de acción en Salud en el Municipio de  Frontino
E1 Gobernabilidad y Gobernanza  -  L1  Desarrollo Institucional y Setorial -  Planeacion Integral en Salud </t>
  </si>
  <si>
    <t>Implementación del servicio de gestión del riesgo para prevención del consumo de sustancias psicoactivas con estrategias comunitarias y APS en el municipio de  Frontino</t>
  </si>
  <si>
    <t>Implementación del servicio de gestión del riesgo en salud sexual y reproductiva con enfoque de derechos y APS en el Municipio de  Frontino
E4 Atención Primaria Salud    - L43  Cuidado de la Salud - Cuidado de la salud Poblacion Materna - Perinatal</t>
  </si>
  <si>
    <t>Implementación del servicio de gestión del riesgo en trastornos mentales mediante estrategias comunitarias y APS en el Municipio de  Frontino
E4 Atencion Primaria Salud -  L3 Cuidado de la Salud - Cuidado de la salud - Adolescencia</t>
  </si>
  <si>
    <t xml:space="preserve">Implementación del servicio de gestión del riesgo para prevención de enfermedades asociadas a condiciones ambientales con enfoque APS en el municipio de  Frontino
E4 Atencion Primaria Salud -  L3 Cuidado de la Salud -  Cuidado de la Salud Juventud </t>
  </si>
  <si>
    <t>Implementación del servicio de gestión del riesgo por exposición laboral con estrategias de educación y prevención en salud para trabajadores en el municipio de  Frontino
E7  Persnal Salud  -  L3 Cuidado de la Salud  -  Cuidado de la salud en el entorno laboral</t>
  </si>
  <si>
    <t>Implementación del servicio de gestión del riesgo para enfermedades emergentes, reemergentes y desatendidas con enfoque APS en el municipio de  Frontino
E4  Atencion Primaria en Saluid  - L3  Cuidadod e la Salud  -  Cuidado de la salud - Primera infancia</t>
  </si>
  <si>
    <t xml:space="preserve">Implementación del servicio de gestión del riesgo para enfermedades inmunoprevenibles mediante fortalecimiento del PAI y APS territorial en el municipio de  Frontino
E4 Atención Primaria Salud  - L 3  Cuidado de la Salud -  Cuidado de la Salud - Infancia </t>
  </si>
  <si>
    <t>Implementación del servicio de gestión del riesgo nutricional y alimentario con enfoque APS, inocuidad y Seguridad Alimentaria en el municipio de  Frontino
E4 Atencion Primaria Salud -  L3 Cuidado de la Salud -   Cuidado de la Salud - Adultez</t>
  </si>
  <si>
    <t xml:space="preserve">Fortalecimiento del servicio de suministro de insumos para eventos de interés en Salud Pública en el Municipio de  Frontino
E1 Gobernabilidad y Gobernanza  -  L1  Desarrollo Institucional y Setorial -  Gestion de Insumos de Interes en Salud Publica </t>
  </si>
  <si>
    <t>Servicio de promoción de la salud para prevención de enfermedades no transmisibles y envejecimiento saludable mediante APS en el Municipio de  Frontino
E4 Atencion Primaria Salud -  L3 Cuidado de la Salud -   Cuidado de la Salud -  Persona Mayor</t>
  </si>
  <si>
    <t xml:space="preserve">Servicio de gestión territorial para respuesta en salud publica ante emergencias, desastres y pandemias en el Municipio de  Frontino
E5  Cambio Climatico  -  L3  Cuidado de la Salud -  Respuesta en salud pública ante los efectos en la salud generados por la variabilidad y el cambio climático y la ocurrencia de emergencias, desastres y pandemias. </t>
  </si>
  <si>
    <t xml:space="preserve">Servicio de certificación, registro y caracterización de discapacidad con enfoque diferencial en el Municipio de  Frontino
E2 Pueblos y comunidades  -   L3 Cuidado de la Salud -   Garantía del derecho a la salud de pueblos y comunidades étnicas y campesinas, mujeres, sectores LGBTIQ+ y otras poblaciones por condición y/o situación. </t>
  </si>
  <si>
    <t>Fortalecimiento de la participación social en salud y gobernanza comunitaria en el Municipio de  Frontino
E2  Pueblos y Comunidades  -  L 2   Acuerdos Sociales y Comunitarios  - Participación social de pueblos y comunidades étnicas y campesinas, mujeres, sectores LGBTIQ+ y otras poblaciones por condición y/o situación. 
E2  Pueblos y Comunidades - L2  Acuerdos Sociales y Comunitarios  -   Coord intersectorial transversalización enfoques de pueblos comunidades género diferencial e integración sistemas de conocimiento propio pueblos comunidades étnicas campesinas.
E3  Determinantes -  L2  Acuerdos Sociales y Comunitarios   -   Coordinación intersectorial para la afectación positiva de los determinantes sociales de la salud.
E 4  Atencion Primaria en Salud -  L2  Acuerdos Sociales y Comunitarios  -  Coordinación intersectorial para el cuidado de la salud en los territorios en el marco de la Atención Primaria en Salud. 
E4  Atencion Primaria en Salud  -  L2  Acuerdos Sociales y Comunitarios  -  Participación social como base de la Atención Primaria en Salud-APS
E5  Cambio Climatico -  L2 Acuerdos Sociales y Comunitarios  - Coord intersectorial establecimiento acciones adaptación mitigación variabilidad cambio climático y efectos en salud y gestión prevención atención emergencias desastres pandemias
E5  Cambio Climatico -  L2 Acuerdos Solciales y Comunitarios -   Participación social incidencia acciones adaptación mitigación la variabilidad cambio climático y efectos en salud gestión prevención atención emergencias desastres pandemias
E6 Conocimiento Salud  - L Acuerdos Sociales y Comunitarios  -  Participación social para la incidencia en la gestión del conocimiento en Salud Pública y la Soberanía Sanitaria</t>
  </si>
  <si>
    <t>Implementación y fortalecimiento del Sistema de Información en Salud Pública para gestión del conocimiento y toma de decisiones en el Municipio de  Frontino
E1  Gobernabiliad  y Bobernanza  - L1 Desxarrollo  Institucional y Sectorial - Vigilancia en Salud Pública y fortalecimiento de los laboratorios en salud pública
E4  Atencion Primaria en Salud  -  L3  Cuidado de la Salud  -   Cuidado de la Salud - familias, colectivos y comunidades
E5  Cambio Climatico  -  L3  Cuidado de la Salud  -  Respuesta en salud pública ante los efectos en la salud generados por la variabilidad y el cambio climático y la ocurrencia de emergencias, desastres y pandemias. 
E6  Conocimiento Salud -  L1  Desarrollo Institucional y Sectorial  - Gestión del conocimiento para la toma de decisiones en Salud Pública y la Soberanía Sanitaria</t>
  </si>
  <si>
    <t>Servicio de promoción de la salud y fortalecimiento de capacidades comunitarias para el bienestar integral en el Municipio de  Frontino
E3  Determinantes -  L3   Cuidado de la Salud  -Información en salud para la afectación positiva de los determinantes sociales de la salud en el territorio.
E6   Conocimiento Salud - L3 Cuidado de la Salud  -  Acciones estratégicas de información en salud
E1 Gobernabilidad y Gobernanza  -  L1  Desarrollo Institucional y Setorial -  Desarrollo de Capacidades para la Gobernanza en Salud Publica</t>
  </si>
  <si>
    <t>PLAN OPERATIVO ANUAL DE INVERSIONES (POAI) Y PLAN DE ACCIÓN (PA) 2026 -SALUD PUBLICA - ACTUALIZACIÓN MAYO 31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</si>
</sst>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 #,##0_-;\-&quot;$&quot;\ * #,##0_-;_-&quot;$&quot;\ * &quot;-&quot;_-;_-@_-"/>
    <numFmt numFmtId="41" formatCode="_-* #,##0_-;\-* #,##0_-;_-* &quot;-&quot;_-;_-@_-"/>
    <numFmt numFmtId="44" formatCode="_-&quot;$&quot;\ * #,##0.00_-;\-&quot;$&quot;\ * #,##0.00_-;_-&quot;$&quot;\ * &quot;-&quot;??_-;_-@_-"/>
    <numFmt numFmtId="164" formatCode="_-&quot;$&quot;\ * #,##0_-;\-&quot;$&quot;\ * #,##0_-;_-&quot;$&quot;\ * &quot;-&quot;??_-;_-@_-"/>
  </numFmts>
  <fonts count="11" x14ac:knownFonts="1">
    <font>
      <sz val="11"/>
      <name val="Calibri"/>
      <family val="2"/>
    </font>
    <font>
      <sz val="11"/>
      <color theme="1"/>
      <name val="Calibri"/>
      <family val="2"/>
      <scheme val="minor"/>
    </font>
    <font>
      <sz val="11"/>
      <name val="Calibri"/>
      <family val="2"/>
    </font>
    <font>
      <b/>
      <sz val="18"/>
      <name val="Calibri"/>
      <family val="2"/>
    </font>
    <font>
      <b/>
      <sz val="11"/>
      <color theme="1"/>
      <name val="Calibri"/>
      <family val="2"/>
    </font>
    <font>
      <b/>
      <sz val="11"/>
      <name val="Calibri"/>
      <family val="2"/>
    </font>
    <font>
      <sz val="11"/>
      <color theme="1"/>
      <name val="Calibri"/>
      <family val="2"/>
    </font>
    <font>
      <sz val="8"/>
      <name val="Calibri"/>
      <family val="2"/>
    </font>
    <font>
      <sz val="10"/>
      <name val="Arial Narrow"/>
      <family val="2"/>
    </font>
    <font>
      <sz val="10"/>
      <name val="Arial"/>
      <family val="2"/>
      <charset val="1"/>
    </font>
    <font>
      <sz val="10"/>
      <name val="Arial"/>
      <family val="2"/>
    </font>
  </fonts>
  <fills count="4">
    <fill>
      <patternFill patternType="none"/>
    </fill>
    <fill>
      <patternFill patternType="gray125"/>
    </fill>
    <fill>
      <patternFill patternType="solid">
        <fgColor theme="9" tint="0.59999389629810485"/>
        <bgColor indexed="64"/>
      </patternFill>
    </fill>
    <fill>
      <patternFill patternType="solid">
        <fgColor theme="0"/>
        <bgColor indexed="64"/>
      </patternFill>
    </fill>
  </fills>
  <borders count="1">
    <border>
      <left/>
      <right/>
      <top/>
      <bottom/>
      <diagonal/>
    </border>
  </borders>
  <cellStyleXfs count="15">
    <xf numFmtId="0" fontId="0" fillId="0" borderId="0"/>
    <xf numFmtId="44" fontId="2" fillId="0" borderId="0" applyFont="0" applyFill="0" applyBorder="0" applyAlignment="0" applyProtection="0"/>
    <xf numFmtId="44" fontId="2" fillId="0" borderId="0" applyFont="0" applyFill="0" applyBorder="0" applyAlignment="0" applyProtection="0"/>
    <xf numFmtId="0" fontId="2" fillId="0" borderId="0"/>
    <xf numFmtId="0" fontId="1" fillId="0" borderId="0"/>
    <xf numFmtId="41"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9" fillId="0" borderId="0"/>
    <xf numFmtId="0" fontId="1" fillId="0" borderId="0"/>
    <xf numFmtId="1" fontId="8" fillId="3" borderId="0" applyFill="0">
      <alignment horizontal="center" vertical="center"/>
    </xf>
    <xf numFmtId="0" fontId="10" fillId="0" borderId="0"/>
    <xf numFmtId="0" fontId="10" fillId="0" borderId="0"/>
    <xf numFmtId="44" fontId="1" fillId="0" borderId="0" applyFont="0" applyFill="0" applyBorder="0" applyAlignment="0" applyProtection="0"/>
    <xf numFmtId="44" fontId="1" fillId="0" borderId="0" applyFont="0" applyFill="0" applyBorder="0" applyAlignment="0" applyProtection="0"/>
  </cellStyleXfs>
  <cellXfs count="27">
    <xf numFmtId="0" fontId="0" fillId="0" borderId="0" xfId="0"/>
    <xf numFmtId="0" fontId="4" fillId="0" borderId="0" xfId="0" applyFont="1" applyAlignment="1">
      <alignment vertical="center" wrapText="1"/>
    </xf>
    <xf numFmtId="0" fontId="4" fillId="0" borderId="0" xfId="0" applyFont="1" applyAlignment="1">
      <alignment horizontal="center" vertical="center" wrapText="1"/>
    </xf>
    <xf numFmtId="1" fontId="4" fillId="0" borderId="0" xfId="0" applyNumberFormat="1" applyFont="1" applyAlignment="1">
      <alignment horizontal="center" vertical="center" wrapText="1"/>
    </xf>
    <xf numFmtId="0" fontId="5" fillId="0" borderId="0" xfId="0" applyFont="1" applyAlignment="1">
      <alignment vertical="center" wrapText="1"/>
    </xf>
    <xf numFmtId="1" fontId="5" fillId="0" borderId="0" xfId="1" applyNumberFormat="1" applyFont="1" applyAlignment="1">
      <alignment horizontal="center" vertical="center" wrapText="1"/>
    </xf>
    <xf numFmtId="0" fontId="0" fillId="0" borderId="0" xfId="0" applyAlignment="1">
      <alignment horizontal="center"/>
    </xf>
    <xf numFmtId="1" fontId="0" fillId="0" borderId="0" xfId="0" applyNumberFormat="1"/>
    <xf numFmtId="1" fontId="0" fillId="0" borderId="0" xfId="0" applyNumberFormat="1" applyAlignment="1">
      <alignment vertical="center"/>
    </xf>
    <xf numFmtId="164" fontId="4" fillId="0" borderId="0" xfId="1" applyNumberFormat="1" applyFont="1" applyFill="1" applyAlignment="1">
      <alignment horizontal="center" vertical="center" wrapText="1"/>
    </xf>
    <xf numFmtId="0" fontId="0" fillId="0" borderId="0" xfId="0" applyAlignment="1">
      <alignment wrapText="1"/>
    </xf>
    <xf numFmtId="164" fontId="0" fillId="0" borderId="0" xfId="1" applyNumberFormat="1" applyFont="1" applyFill="1" applyAlignment="1">
      <alignment horizontal="center"/>
    </xf>
    <xf numFmtId="0" fontId="5" fillId="0" borderId="0" xfId="0" applyFont="1" applyAlignment="1">
      <alignment horizontal="center" vertical="center" wrapText="1"/>
    </xf>
    <xf numFmtId="1" fontId="5" fillId="0" borderId="0" xfId="0" applyNumberFormat="1" applyFont="1" applyAlignment="1">
      <alignment horizontal="center" vertical="center" wrapText="1"/>
    </xf>
    <xf numFmtId="1" fontId="0" fillId="0" borderId="0" xfId="0" applyNumberFormat="1" applyAlignment="1">
      <alignment wrapText="1"/>
    </xf>
    <xf numFmtId="1" fontId="0" fillId="0" borderId="0" xfId="0" applyNumberFormat="1" applyAlignment="1">
      <alignment vertical="center" wrapText="1"/>
    </xf>
    <xf numFmtId="164" fontId="0" fillId="0" borderId="0" xfId="0" applyNumberFormat="1"/>
    <xf numFmtId="0" fontId="3" fillId="2" borderId="0" xfId="0" applyFont="1" applyFill="1" applyAlignment="1">
      <alignment horizontal="center" vertical="center" wrapText="1"/>
    </xf>
    <xf numFmtId="0" fontId="0" fillId="0" borderId="0" xfId="0" applyFill="1" applyAlignment="1">
      <alignment vertical="center" wrapText="1"/>
    </xf>
    <xf numFmtId="0" fontId="0" fillId="0" borderId="0" xfId="0" applyFill="1" applyAlignment="1">
      <alignment horizontal="center" vertical="center" wrapText="1"/>
    </xf>
    <xf numFmtId="1" fontId="0" fillId="0" borderId="0" xfId="0" applyNumberFormat="1" applyFill="1" applyAlignment="1">
      <alignment horizontal="center" vertical="center" wrapText="1"/>
    </xf>
    <xf numFmtId="1" fontId="0" fillId="0" borderId="0" xfId="0" applyNumberFormat="1" applyFill="1" applyAlignment="1">
      <alignment horizontal="left" vertical="center" wrapText="1"/>
    </xf>
    <xf numFmtId="0" fontId="6" fillId="0" borderId="0" xfId="0" applyFont="1" applyFill="1" applyAlignment="1">
      <alignment vertical="center" wrapText="1"/>
    </xf>
    <xf numFmtId="0" fontId="6" fillId="0" borderId="0" xfId="0" applyFont="1" applyFill="1" applyAlignment="1">
      <alignment horizontal="center" vertical="center" wrapText="1"/>
    </xf>
    <xf numFmtId="1" fontId="6" fillId="0" borderId="0" xfId="0" applyNumberFormat="1" applyFont="1" applyFill="1" applyAlignment="1">
      <alignment vertical="center" wrapText="1"/>
    </xf>
    <xf numFmtId="164" fontId="0" fillId="0" borderId="0" xfId="1" applyNumberFormat="1" applyFont="1" applyFill="1" applyAlignment="1">
      <alignment vertical="center" wrapText="1"/>
    </xf>
    <xf numFmtId="164" fontId="0" fillId="0" borderId="0" xfId="0" applyNumberFormat="1" applyFill="1" applyAlignment="1">
      <alignment vertical="center" wrapText="1"/>
    </xf>
  </cellXfs>
  <cellStyles count="15">
    <cellStyle name="Millares [0] 2" xfId="5" xr:uid="{0839839F-F2BE-4DF4-AFB0-C921DE1CDDBE}"/>
    <cellStyle name="Moneda" xfId="1" builtinId="4"/>
    <cellStyle name="Moneda [0] 2" xfId="7" xr:uid="{34B6A79C-660C-4ECA-9C60-883EF8288F1F}"/>
    <cellStyle name="Moneda 2" xfId="2" xr:uid="{C34FB0B2-6E8E-4526-92E5-B3BE031DACD1}"/>
    <cellStyle name="Moneda 3" xfId="6" xr:uid="{61F25ACF-5D72-405F-9835-B116CC4A6B74}"/>
    <cellStyle name="Moneda 4" xfId="13" xr:uid="{DD1D3A7D-40C9-463F-97BB-A1EF3416B698}"/>
    <cellStyle name="Moneda 5" xfId="14" xr:uid="{8BD5909C-2589-461B-9FC7-FA0EAF35E6B5}"/>
    <cellStyle name="Nivel 7" xfId="10" xr:uid="{A350CEB0-E2B3-4AC6-88B5-06BE3DE29B73}"/>
    <cellStyle name="Normal" xfId="0" builtinId="0"/>
    <cellStyle name="Normal 2" xfId="3" xr:uid="{DDAD0B6C-EBB4-435E-A156-C56CC10A1AA7}"/>
    <cellStyle name="Normal 2 2" xfId="11" xr:uid="{1CD92FDB-1CA2-4AA2-A58F-880FA9D6FCFB}"/>
    <cellStyle name="Normal 3" xfId="4" xr:uid="{726C9BD9-1B42-494D-94B1-0D3F2B587043}"/>
    <cellStyle name="Normal 3 2" xfId="12" xr:uid="{C2830D61-12E4-45C0-A110-063BFFA8D744}"/>
    <cellStyle name="Normal 5" xfId="8" xr:uid="{EFB90B4A-8B2C-4D39-9841-B53D1D8E3FD6}"/>
    <cellStyle name="Normal 5 2" xfId="9" xr:uid="{9E273AC1-D9DD-4571-B5DC-4C8ED79AE0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22EBA-140E-41B7-9EBD-C6F7A6B38C5F}">
  <dimension ref="A1:AB20"/>
  <sheetViews>
    <sheetView tabSelected="1" topLeftCell="F1" zoomScale="70" zoomScaleNormal="70" workbookViewId="0">
      <pane xSplit="6" ySplit="2" topLeftCell="L3" activePane="bottomRight" state="frozen"/>
      <selection activeCell="F1" sqref="F1"/>
      <selection pane="topRight" activeCell="L1" sqref="L1"/>
      <selection pane="bottomLeft" activeCell="F3" sqref="F3"/>
      <selection pane="bottomRight" activeCell="A2" sqref="A2"/>
    </sheetView>
  </sheetViews>
  <sheetFormatPr baseColWidth="10" defaultColWidth="8.7109375" defaultRowHeight="15" x14ac:dyDescent="0.25"/>
  <cols>
    <col min="2" max="2" width="38.5703125" customWidth="1"/>
    <col min="3" max="3" width="8.28515625" style="6" customWidth="1"/>
    <col min="4" max="4" width="39.28515625" customWidth="1"/>
    <col min="5" max="5" width="19.7109375" customWidth="1"/>
    <col min="6" max="6" width="22.28515625" style="6" customWidth="1"/>
    <col min="7" max="7" width="45.28515625" style="6" customWidth="1"/>
    <col min="8" max="8" width="69.28515625" style="10" customWidth="1"/>
    <col min="9" max="10" width="14.28515625" customWidth="1"/>
    <col min="11" max="11" width="21.5703125" style="7" customWidth="1"/>
    <col min="12" max="12" width="36.28515625" style="14" customWidth="1"/>
    <col min="13" max="13" width="63.28515625" customWidth="1"/>
    <col min="14" max="17" width="22.42578125" style="11" customWidth="1"/>
    <col min="18" max="28" width="22.42578125" customWidth="1"/>
  </cols>
  <sheetData>
    <row r="1" spans="1:28" ht="43.9" customHeight="1" x14ac:dyDescent="0.25">
      <c r="A1" s="17" t="s">
        <v>84</v>
      </c>
      <c r="B1" s="17"/>
      <c r="C1" s="17"/>
      <c r="D1" s="17"/>
      <c r="E1" s="17"/>
      <c r="F1" s="17"/>
      <c r="G1" s="17"/>
      <c r="H1" s="17"/>
      <c r="I1" s="17"/>
      <c r="J1" s="17"/>
      <c r="K1" s="17"/>
      <c r="L1" s="17"/>
      <c r="M1" s="17"/>
      <c r="N1" s="17"/>
      <c r="O1" s="17"/>
      <c r="P1" s="17"/>
      <c r="Q1" s="17"/>
      <c r="R1" s="17"/>
      <c r="S1" s="17"/>
      <c r="T1" s="17"/>
      <c r="U1" s="17"/>
      <c r="V1" s="17"/>
      <c r="W1" s="17"/>
      <c r="X1" s="17"/>
      <c r="Y1" s="17"/>
      <c r="Z1" s="17"/>
      <c r="AA1" s="17"/>
      <c r="AB1" s="17"/>
    </row>
    <row r="2" spans="1:28" s="4" customFormat="1" ht="45" x14ac:dyDescent="0.25">
      <c r="A2" s="4" t="s">
        <v>24</v>
      </c>
      <c r="B2" s="4" t="s">
        <v>26</v>
      </c>
      <c r="C2" s="12" t="s">
        <v>23</v>
      </c>
      <c r="D2" s="4" t="s">
        <v>21</v>
      </c>
      <c r="E2" s="4" t="s">
        <v>66</v>
      </c>
      <c r="F2" s="13" t="s">
        <v>0</v>
      </c>
      <c r="G2" s="13" t="s">
        <v>46</v>
      </c>
      <c r="H2" s="1" t="s">
        <v>64</v>
      </c>
      <c r="I2" s="2" t="s">
        <v>1</v>
      </c>
      <c r="J2" s="2" t="s">
        <v>65</v>
      </c>
      <c r="K2" s="3" t="s">
        <v>2</v>
      </c>
      <c r="L2" s="3" t="s">
        <v>29</v>
      </c>
      <c r="M2" s="4" t="s">
        <v>28</v>
      </c>
      <c r="N2" s="5" t="s">
        <v>31</v>
      </c>
      <c r="O2" s="5" t="s">
        <v>32</v>
      </c>
      <c r="P2" s="5" t="s">
        <v>33</v>
      </c>
      <c r="Q2" s="5" t="s">
        <v>34</v>
      </c>
      <c r="R2" s="4" t="s">
        <v>35</v>
      </c>
      <c r="S2" s="4" t="s">
        <v>36</v>
      </c>
      <c r="T2" s="4" t="s">
        <v>37</v>
      </c>
      <c r="U2" s="4" t="s">
        <v>38</v>
      </c>
      <c r="V2" s="4" t="s">
        <v>39</v>
      </c>
      <c r="W2" s="4" t="s">
        <v>40</v>
      </c>
      <c r="X2" s="4" t="s">
        <v>41</v>
      </c>
      <c r="Y2" s="4" t="s">
        <v>42</v>
      </c>
      <c r="Z2" s="4" t="s">
        <v>43</v>
      </c>
      <c r="AA2" s="4" t="s">
        <v>44</v>
      </c>
      <c r="AB2" s="4" t="s">
        <v>45</v>
      </c>
    </row>
    <row r="3" spans="1:28" s="18" customFormat="1" ht="60" x14ac:dyDescent="0.25">
      <c r="A3" s="18" t="s">
        <v>25</v>
      </c>
      <c r="B3" s="18" t="s">
        <v>27</v>
      </c>
      <c r="C3" s="19">
        <v>1905</v>
      </c>
      <c r="D3" s="18" t="s">
        <v>22</v>
      </c>
      <c r="E3" s="19">
        <v>1905020</v>
      </c>
      <c r="F3" s="20">
        <v>190502000</v>
      </c>
      <c r="G3" s="21" t="s">
        <v>47</v>
      </c>
      <c r="H3" s="22" t="s">
        <v>3</v>
      </c>
      <c r="I3" s="23">
        <v>10</v>
      </c>
      <c r="J3" s="23">
        <v>3</v>
      </c>
      <c r="K3" s="24">
        <v>202500000048885</v>
      </c>
      <c r="L3" s="24" t="s">
        <v>30</v>
      </c>
      <c r="M3" s="18" t="s">
        <v>69</v>
      </c>
      <c r="N3" s="25">
        <v>0</v>
      </c>
      <c r="O3" s="25">
        <v>0</v>
      </c>
      <c r="P3" s="25">
        <v>0</v>
      </c>
      <c r="Q3" s="25">
        <v>0</v>
      </c>
      <c r="R3" s="25">
        <v>0</v>
      </c>
      <c r="S3" s="25">
        <v>0</v>
      </c>
      <c r="T3" s="25">
        <v>0</v>
      </c>
      <c r="U3" s="25">
        <v>0</v>
      </c>
      <c r="V3" s="25">
        <v>100874029.15000001</v>
      </c>
      <c r="W3" s="25">
        <v>0</v>
      </c>
      <c r="X3" s="25">
        <v>0</v>
      </c>
      <c r="Y3" s="25">
        <v>0</v>
      </c>
      <c r="Z3" s="25">
        <v>0</v>
      </c>
      <c r="AA3" s="25">
        <v>0</v>
      </c>
      <c r="AB3" s="26">
        <f>SUM(N3:AA3)</f>
        <v>100874029.15000001</v>
      </c>
    </row>
    <row r="4" spans="1:28" s="18" customFormat="1" ht="75" x14ac:dyDescent="0.25">
      <c r="A4" s="18" t="s">
        <v>25</v>
      </c>
      <c r="B4" s="18" t="s">
        <v>27</v>
      </c>
      <c r="C4" s="19">
        <v>1905</v>
      </c>
      <c r="D4" s="18" t="s">
        <v>22</v>
      </c>
      <c r="E4" s="19">
        <v>1905021</v>
      </c>
      <c r="F4" s="20">
        <v>190502100</v>
      </c>
      <c r="G4" s="21" t="s">
        <v>48</v>
      </c>
      <c r="H4" s="22" t="s">
        <v>4</v>
      </c>
      <c r="I4" s="23">
        <v>10</v>
      </c>
      <c r="J4" s="23">
        <v>3</v>
      </c>
      <c r="K4" s="24">
        <v>202500000048893</v>
      </c>
      <c r="L4" s="24" t="s">
        <v>30</v>
      </c>
      <c r="M4" s="24" t="s">
        <v>70</v>
      </c>
      <c r="N4" s="25">
        <v>0</v>
      </c>
      <c r="O4" s="25">
        <v>0</v>
      </c>
      <c r="P4" s="25">
        <v>0</v>
      </c>
      <c r="Q4" s="25">
        <v>0</v>
      </c>
      <c r="R4" s="25">
        <v>0</v>
      </c>
      <c r="S4" s="25">
        <v>0</v>
      </c>
      <c r="T4" s="25">
        <v>0</v>
      </c>
      <c r="U4" s="25">
        <v>0</v>
      </c>
      <c r="V4" s="25">
        <v>22000000</v>
      </c>
      <c r="W4" s="25">
        <v>0</v>
      </c>
      <c r="X4" s="25">
        <v>0</v>
      </c>
      <c r="Y4" s="25">
        <v>0</v>
      </c>
      <c r="Z4" s="25">
        <v>0</v>
      </c>
      <c r="AA4" s="25">
        <v>0</v>
      </c>
      <c r="AB4" s="26">
        <f t="shared" ref="AB4:AB19" si="0">SUM(N4:AA4)</f>
        <v>22000000</v>
      </c>
    </row>
    <row r="5" spans="1:28" s="18" customFormat="1" ht="75" x14ac:dyDescent="0.25">
      <c r="A5" s="18" t="s">
        <v>25</v>
      </c>
      <c r="B5" s="18" t="s">
        <v>27</v>
      </c>
      <c r="C5" s="19">
        <v>1905</v>
      </c>
      <c r="D5" s="18" t="s">
        <v>22</v>
      </c>
      <c r="E5" s="19">
        <v>1905022</v>
      </c>
      <c r="F5" s="20">
        <v>190502200</v>
      </c>
      <c r="G5" s="21" t="s">
        <v>49</v>
      </c>
      <c r="H5" s="22" t="s">
        <v>5</v>
      </c>
      <c r="I5" s="23">
        <v>8</v>
      </c>
      <c r="J5" s="23">
        <f>+I5/4</f>
        <v>2</v>
      </c>
      <c r="K5" s="24">
        <v>202500000048955</v>
      </c>
      <c r="L5" s="24" t="s">
        <v>30</v>
      </c>
      <c r="M5" s="18" t="s">
        <v>71</v>
      </c>
      <c r="N5" s="25">
        <v>0</v>
      </c>
      <c r="O5" s="25">
        <v>0</v>
      </c>
      <c r="P5" s="25">
        <v>0</v>
      </c>
      <c r="Q5" s="25">
        <v>0</v>
      </c>
      <c r="R5" s="25">
        <v>0</v>
      </c>
      <c r="S5" s="25">
        <v>0</v>
      </c>
      <c r="T5" s="25">
        <v>0</v>
      </c>
      <c r="U5" s="25">
        <v>0</v>
      </c>
      <c r="V5" s="25">
        <v>44000000</v>
      </c>
      <c r="W5" s="25">
        <v>0</v>
      </c>
      <c r="X5" s="25">
        <v>0</v>
      </c>
      <c r="Y5" s="25">
        <v>0</v>
      </c>
      <c r="Z5" s="25">
        <v>0</v>
      </c>
      <c r="AA5" s="25">
        <v>0</v>
      </c>
      <c r="AB5" s="26">
        <f t="shared" si="0"/>
        <v>44000000</v>
      </c>
    </row>
    <row r="6" spans="1:28" s="18" customFormat="1" ht="75" x14ac:dyDescent="0.25">
      <c r="A6" s="18" t="s">
        <v>25</v>
      </c>
      <c r="B6" s="18" t="s">
        <v>27</v>
      </c>
      <c r="C6" s="19">
        <v>1905</v>
      </c>
      <c r="D6" s="18" t="s">
        <v>22</v>
      </c>
      <c r="E6" s="19">
        <v>1905024</v>
      </c>
      <c r="F6" s="20">
        <v>190502400</v>
      </c>
      <c r="G6" s="21" t="s">
        <v>50</v>
      </c>
      <c r="H6" s="22" t="s">
        <v>6</v>
      </c>
      <c r="I6" s="23">
        <v>10</v>
      </c>
      <c r="J6" s="23">
        <v>3</v>
      </c>
      <c r="K6" s="24">
        <v>202500000048959</v>
      </c>
      <c r="L6" s="24" t="s">
        <v>30</v>
      </c>
      <c r="M6" s="18" t="s">
        <v>72</v>
      </c>
      <c r="N6" s="25">
        <v>0</v>
      </c>
      <c r="O6" s="25">
        <v>0</v>
      </c>
      <c r="P6" s="25">
        <v>0</v>
      </c>
      <c r="Q6" s="25">
        <v>0</v>
      </c>
      <c r="R6" s="25">
        <v>0</v>
      </c>
      <c r="S6" s="25">
        <v>0</v>
      </c>
      <c r="T6" s="25">
        <v>0</v>
      </c>
      <c r="U6" s="25">
        <v>0</v>
      </c>
      <c r="V6" s="25">
        <v>44000000</v>
      </c>
      <c r="W6" s="25">
        <v>0</v>
      </c>
      <c r="X6" s="25">
        <v>0</v>
      </c>
      <c r="Y6" s="25">
        <v>0</v>
      </c>
      <c r="Z6" s="25">
        <v>0</v>
      </c>
      <c r="AA6" s="25">
        <v>0</v>
      </c>
      <c r="AB6" s="26">
        <f t="shared" si="0"/>
        <v>44000000</v>
      </c>
    </row>
    <row r="7" spans="1:28" s="18" customFormat="1" ht="75" x14ac:dyDescent="0.25">
      <c r="A7" s="18" t="s">
        <v>25</v>
      </c>
      <c r="B7" s="18" t="s">
        <v>27</v>
      </c>
      <c r="C7" s="19">
        <v>1905</v>
      </c>
      <c r="D7" s="18" t="s">
        <v>22</v>
      </c>
      <c r="E7" s="19">
        <v>1905025</v>
      </c>
      <c r="F7" s="20">
        <v>190502500</v>
      </c>
      <c r="G7" s="21" t="s">
        <v>51</v>
      </c>
      <c r="H7" s="22" t="s">
        <v>7</v>
      </c>
      <c r="I7" s="23">
        <v>10</v>
      </c>
      <c r="J7" s="23">
        <v>3</v>
      </c>
      <c r="K7" s="24">
        <v>202500000048964</v>
      </c>
      <c r="L7" s="24" t="s">
        <v>30</v>
      </c>
      <c r="M7" s="18" t="s">
        <v>73</v>
      </c>
      <c r="N7" s="25">
        <v>0</v>
      </c>
      <c r="O7" s="25">
        <v>0</v>
      </c>
      <c r="P7" s="25">
        <v>0</v>
      </c>
      <c r="Q7" s="25">
        <v>0</v>
      </c>
      <c r="R7" s="25">
        <v>0</v>
      </c>
      <c r="S7" s="25">
        <v>0</v>
      </c>
      <c r="T7" s="25">
        <v>0</v>
      </c>
      <c r="U7" s="25">
        <v>0</v>
      </c>
      <c r="V7" s="25">
        <v>22853142</v>
      </c>
      <c r="W7" s="25">
        <v>0</v>
      </c>
      <c r="X7" s="25">
        <v>0</v>
      </c>
      <c r="Y7" s="25">
        <v>0</v>
      </c>
      <c r="Z7" s="25">
        <v>0</v>
      </c>
      <c r="AA7" s="25">
        <v>0</v>
      </c>
      <c r="AB7" s="26">
        <f t="shared" si="0"/>
        <v>22853142</v>
      </c>
    </row>
    <row r="8" spans="1:28" s="18" customFormat="1" ht="90" x14ac:dyDescent="0.25">
      <c r="A8" s="18" t="s">
        <v>25</v>
      </c>
      <c r="B8" s="18" t="s">
        <v>27</v>
      </c>
      <c r="C8" s="19">
        <v>1905</v>
      </c>
      <c r="D8" s="18" t="s">
        <v>22</v>
      </c>
      <c r="E8" s="19">
        <v>1905026</v>
      </c>
      <c r="F8" s="20">
        <v>190502600</v>
      </c>
      <c r="G8" s="21" t="s">
        <v>52</v>
      </c>
      <c r="H8" s="22" t="s">
        <v>8</v>
      </c>
      <c r="I8" s="23">
        <v>10</v>
      </c>
      <c r="J8" s="23">
        <v>3</v>
      </c>
      <c r="K8" s="24">
        <v>202500000048970</v>
      </c>
      <c r="L8" s="24" t="s">
        <v>30</v>
      </c>
      <c r="M8" s="18" t="s">
        <v>74</v>
      </c>
      <c r="N8" s="25">
        <v>0</v>
      </c>
      <c r="O8" s="25">
        <v>0</v>
      </c>
      <c r="P8" s="25">
        <v>0</v>
      </c>
      <c r="Q8" s="25">
        <v>0</v>
      </c>
      <c r="R8" s="25">
        <v>0</v>
      </c>
      <c r="S8" s="25">
        <v>0</v>
      </c>
      <c r="T8" s="25">
        <v>0</v>
      </c>
      <c r="U8" s="25">
        <v>0</v>
      </c>
      <c r="V8" s="25">
        <v>40000000</v>
      </c>
      <c r="W8" s="25">
        <v>0</v>
      </c>
      <c r="X8" s="25">
        <v>0</v>
      </c>
      <c r="Y8" s="25">
        <v>0</v>
      </c>
      <c r="Z8" s="25">
        <v>0</v>
      </c>
      <c r="AA8" s="25">
        <v>0</v>
      </c>
      <c r="AB8" s="26">
        <f t="shared" si="0"/>
        <v>40000000</v>
      </c>
    </row>
    <row r="9" spans="1:28" s="18" customFormat="1" ht="75" x14ac:dyDescent="0.25">
      <c r="A9" s="18" t="s">
        <v>25</v>
      </c>
      <c r="B9" s="18" t="s">
        <v>27</v>
      </c>
      <c r="C9" s="19">
        <v>1905</v>
      </c>
      <c r="D9" s="18" t="s">
        <v>22</v>
      </c>
      <c r="E9" s="19">
        <v>1905027</v>
      </c>
      <c r="F9" s="20">
        <v>190502700</v>
      </c>
      <c r="G9" s="21" t="s">
        <v>53</v>
      </c>
      <c r="H9" s="22" t="s">
        <v>9</v>
      </c>
      <c r="I9" s="23">
        <v>20</v>
      </c>
      <c r="J9" s="23">
        <f>+I9/4</f>
        <v>5</v>
      </c>
      <c r="K9" s="24">
        <v>202500000048999</v>
      </c>
      <c r="L9" s="24" t="s">
        <v>30</v>
      </c>
      <c r="M9" s="18" t="s">
        <v>75</v>
      </c>
      <c r="N9" s="25">
        <v>0</v>
      </c>
      <c r="O9" s="25">
        <v>0</v>
      </c>
      <c r="P9" s="25">
        <v>0</v>
      </c>
      <c r="Q9" s="25">
        <v>0</v>
      </c>
      <c r="R9" s="25">
        <v>0</v>
      </c>
      <c r="S9" s="25">
        <v>0</v>
      </c>
      <c r="T9" s="25">
        <v>0</v>
      </c>
      <c r="U9" s="25">
        <v>0</v>
      </c>
      <c r="V9" s="25">
        <v>33300000</v>
      </c>
      <c r="W9" s="25">
        <v>0</v>
      </c>
      <c r="X9" s="25">
        <v>0</v>
      </c>
      <c r="Y9" s="25">
        <v>0</v>
      </c>
      <c r="Z9" s="25">
        <v>0</v>
      </c>
      <c r="AA9" s="25">
        <v>0</v>
      </c>
      <c r="AB9" s="26">
        <f t="shared" si="0"/>
        <v>33300000</v>
      </c>
    </row>
    <row r="10" spans="1:28" s="18" customFormat="1" ht="75" x14ac:dyDescent="0.25">
      <c r="A10" s="18" t="s">
        <v>25</v>
      </c>
      <c r="B10" s="18" t="s">
        <v>27</v>
      </c>
      <c r="C10" s="19">
        <v>1905</v>
      </c>
      <c r="D10" s="18" t="s">
        <v>22</v>
      </c>
      <c r="E10" s="19">
        <v>1905028</v>
      </c>
      <c r="F10" s="20">
        <v>190502800</v>
      </c>
      <c r="G10" s="21" t="s">
        <v>54</v>
      </c>
      <c r="H10" s="22" t="s">
        <v>10</v>
      </c>
      <c r="I10" s="23">
        <v>10</v>
      </c>
      <c r="J10" s="23">
        <v>3</v>
      </c>
      <c r="K10" s="24">
        <v>202500000049005</v>
      </c>
      <c r="L10" s="24" t="s">
        <v>30</v>
      </c>
      <c r="M10" s="18" t="s">
        <v>76</v>
      </c>
      <c r="N10" s="25">
        <v>0</v>
      </c>
      <c r="O10" s="25">
        <v>0</v>
      </c>
      <c r="P10" s="25">
        <v>0</v>
      </c>
      <c r="Q10" s="25">
        <v>0</v>
      </c>
      <c r="R10" s="25">
        <v>0</v>
      </c>
      <c r="S10" s="25">
        <v>0</v>
      </c>
      <c r="T10" s="25">
        <v>0</v>
      </c>
      <c r="U10" s="25">
        <v>0</v>
      </c>
      <c r="V10" s="25">
        <v>44000000</v>
      </c>
      <c r="W10" s="25">
        <v>0</v>
      </c>
      <c r="X10" s="25">
        <v>0</v>
      </c>
      <c r="Y10" s="25">
        <v>0</v>
      </c>
      <c r="Z10" s="25">
        <v>0</v>
      </c>
      <c r="AA10" s="25">
        <v>0</v>
      </c>
      <c r="AB10" s="26">
        <f t="shared" si="0"/>
        <v>44000000</v>
      </c>
    </row>
    <row r="11" spans="1:28" s="18" customFormat="1" ht="75" x14ac:dyDescent="0.25">
      <c r="A11" s="18" t="s">
        <v>25</v>
      </c>
      <c r="B11" s="18" t="s">
        <v>27</v>
      </c>
      <c r="C11" s="19">
        <v>1905</v>
      </c>
      <c r="D11" s="18" t="s">
        <v>22</v>
      </c>
      <c r="E11" s="19">
        <v>1905031</v>
      </c>
      <c r="F11" s="20">
        <v>190503100</v>
      </c>
      <c r="G11" s="21" t="s">
        <v>55</v>
      </c>
      <c r="H11" s="22" t="s">
        <v>11</v>
      </c>
      <c r="I11" s="23">
        <v>10</v>
      </c>
      <c r="J11" s="23">
        <v>3</v>
      </c>
      <c r="K11" s="24">
        <v>202500000049022</v>
      </c>
      <c r="L11" s="24" t="s">
        <v>30</v>
      </c>
      <c r="M11" s="18" t="s">
        <v>78</v>
      </c>
      <c r="N11" s="25">
        <v>0</v>
      </c>
      <c r="O11" s="25">
        <v>0</v>
      </c>
      <c r="P11" s="25">
        <v>0</v>
      </c>
      <c r="Q11" s="25">
        <v>0</v>
      </c>
      <c r="R11" s="25">
        <v>0</v>
      </c>
      <c r="S11" s="25">
        <v>0</v>
      </c>
      <c r="T11" s="25">
        <v>0</v>
      </c>
      <c r="U11" s="25">
        <v>0</v>
      </c>
      <c r="V11" s="25">
        <v>33300000</v>
      </c>
      <c r="W11" s="25">
        <v>0</v>
      </c>
      <c r="X11" s="25">
        <v>0</v>
      </c>
      <c r="Y11" s="25">
        <v>0</v>
      </c>
      <c r="Z11" s="25">
        <v>0</v>
      </c>
      <c r="AA11" s="25">
        <v>0</v>
      </c>
      <c r="AB11" s="26">
        <f t="shared" si="0"/>
        <v>33300000</v>
      </c>
    </row>
    <row r="12" spans="1:28" s="18" customFormat="1" ht="90" x14ac:dyDescent="0.25">
      <c r="A12" s="18" t="s">
        <v>25</v>
      </c>
      <c r="B12" s="18" t="s">
        <v>27</v>
      </c>
      <c r="C12" s="19">
        <v>1905</v>
      </c>
      <c r="D12" s="18" t="s">
        <v>22</v>
      </c>
      <c r="E12" s="19">
        <v>1905040</v>
      </c>
      <c r="F12" s="20">
        <v>190504002</v>
      </c>
      <c r="G12" s="21" t="s">
        <v>56</v>
      </c>
      <c r="H12" s="22" t="s">
        <v>12</v>
      </c>
      <c r="I12" s="23">
        <v>80</v>
      </c>
      <c r="J12" s="23">
        <f>+I12/4</f>
        <v>20</v>
      </c>
      <c r="K12" s="24">
        <v>202500000049038</v>
      </c>
      <c r="L12" s="24" t="s">
        <v>30</v>
      </c>
      <c r="M12" s="18" t="s">
        <v>80</v>
      </c>
      <c r="N12" s="25">
        <v>0</v>
      </c>
      <c r="O12" s="25">
        <v>0</v>
      </c>
      <c r="P12" s="25">
        <v>0</v>
      </c>
      <c r="Q12" s="25">
        <v>0</v>
      </c>
      <c r="R12" s="25">
        <v>0</v>
      </c>
      <c r="S12" s="25">
        <v>0</v>
      </c>
      <c r="T12" s="25">
        <v>0</v>
      </c>
      <c r="U12" s="25">
        <v>0</v>
      </c>
      <c r="V12" s="25">
        <v>30000000</v>
      </c>
      <c r="W12" s="25">
        <v>0</v>
      </c>
      <c r="X12" s="25">
        <v>0</v>
      </c>
      <c r="Y12" s="25">
        <v>0</v>
      </c>
      <c r="Z12" s="25">
        <v>0</v>
      </c>
      <c r="AA12" s="25">
        <v>0</v>
      </c>
      <c r="AB12" s="26">
        <f t="shared" si="0"/>
        <v>30000000</v>
      </c>
    </row>
    <row r="13" spans="1:28" s="18" customFormat="1" ht="409.5" x14ac:dyDescent="0.25">
      <c r="A13" s="18" t="s">
        <v>25</v>
      </c>
      <c r="B13" s="18" t="s">
        <v>27</v>
      </c>
      <c r="C13" s="19">
        <v>1905</v>
      </c>
      <c r="D13" s="18" t="s">
        <v>22</v>
      </c>
      <c r="E13" s="19">
        <v>1905049</v>
      </c>
      <c r="F13" s="20">
        <v>190504900</v>
      </c>
      <c r="G13" s="21" t="s">
        <v>57</v>
      </c>
      <c r="H13" s="22" t="s">
        <v>13</v>
      </c>
      <c r="I13" s="23">
        <v>20</v>
      </c>
      <c r="J13" s="23">
        <f>+I13/4</f>
        <v>5</v>
      </c>
      <c r="K13" s="24">
        <v>202500000049043</v>
      </c>
      <c r="L13" s="24" t="s">
        <v>30</v>
      </c>
      <c r="M13" s="18" t="s">
        <v>81</v>
      </c>
      <c r="N13" s="25">
        <v>0</v>
      </c>
      <c r="O13" s="25">
        <v>0</v>
      </c>
      <c r="P13" s="25">
        <v>0</v>
      </c>
      <c r="Q13" s="25">
        <v>0</v>
      </c>
      <c r="R13" s="25">
        <v>0</v>
      </c>
      <c r="S13" s="25">
        <v>0</v>
      </c>
      <c r="T13" s="25">
        <v>0</v>
      </c>
      <c r="U13" s="25">
        <v>0</v>
      </c>
      <c r="V13" s="25">
        <v>74000000</v>
      </c>
      <c r="W13" s="25">
        <v>0</v>
      </c>
      <c r="X13" s="25">
        <v>0</v>
      </c>
      <c r="Y13" s="25">
        <v>0</v>
      </c>
      <c r="Z13" s="25">
        <v>0</v>
      </c>
      <c r="AA13" s="25">
        <v>0</v>
      </c>
      <c r="AB13" s="26">
        <f t="shared" si="0"/>
        <v>74000000</v>
      </c>
    </row>
    <row r="14" spans="1:28" s="18" customFormat="1" ht="150" x14ac:dyDescent="0.25">
      <c r="A14" s="18" t="s">
        <v>25</v>
      </c>
      <c r="B14" s="18" t="s">
        <v>27</v>
      </c>
      <c r="C14" s="19">
        <v>1905</v>
      </c>
      <c r="D14" s="18" t="s">
        <v>22</v>
      </c>
      <c r="E14" s="19">
        <v>1905054</v>
      </c>
      <c r="F14" s="20">
        <v>190505400</v>
      </c>
      <c r="G14" s="21" t="s">
        <v>58</v>
      </c>
      <c r="H14" s="22" t="s">
        <v>14</v>
      </c>
      <c r="I14" s="23">
        <v>12</v>
      </c>
      <c r="J14" s="23">
        <f>+I14/4</f>
        <v>3</v>
      </c>
      <c r="K14" s="24">
        <v>202500000049057</v>
      </c>
      <c r="L14" s="24" t="s">
        <v>30</v>
      </c>
      <c r="M14" s="18" t="s">
        <v>83</v>
      </c>
      <c r="N14" s="25">
        <v>530854.87</v>
      </c>
      <c r="O14" s="25">
        <v>0</v>
      </c>
      <c r="P14" s="25">
        <v>0</v>
      </c>
      <c r="Q14" s="25">
        <v>0</v>
      </c>
      <c r="R14" s="25">
        <v>0</v>
      </c>
      <c r="S14" s="25">
        <v>0</v>
      </c>
      <c r="T14" s="25">
        <v>0</v>
      </c>
      <c r="U14" s="25">
        <v>0</v>
      </c>
      <c r="V14" s="25">
        <v>174884780.75999999</v>
      </c>
      <c r="W14" s="25">
        <v>0</v>
      </c>
      <c r="X14" s="25">
        <v>3506826</v>
      </c>
      <c r="Y14" s="25">
        <v>0</v>
      </c>
      <c r="Z14" s="25">
        <v>0</v>
      </c>
      <c r="AA14" s="25">
        <v>0</v>
      </c>
      <c r="AB14" s="26">
        <f t="shared" si="0"/>
        <v>178922461.63</v>
      </c>
    </row>
    <row r="15" spans="1:28" s="18" customFormat="1" ht="75" x14ac:dyDescent="0.25">
      <c r="A15" s="18" t="s">
        <v>25</v>
      </c>
      <c r="B15" s="18" t="s">
        <v>27</v>
      </c>
      <c r="C15" s="19">
        <v>1905</v>
      </c>
      <c r="D15" s="18" t="s">
        <v>22</v>
      </c>
      <c r="E15" s="19">
        <v>1905015</v>
      </c>
      <c r="F15" s="20">
        <v>190501501</v>
      </c>
      <c r="G15" s="21" t="s">
        <v>59</v>
      </c>
      <c r="H15" s="22" t="s">
        <v>15</v>
      </c>
      <c r="I15" s="23">
        <v>9</v>
      </c>
      <c r="J15" s="23">
        <v>3</v>
      </c>
      <c r="K15" s="24">
        <v>202500000048881</v>
      </c>
      <c r="L15" s="24" t="s">
        <v>30</v>
      </c>
      <c r="M15" s="18" t="s">
        <v>68</v>
      </c>
      <c r="N15" s="25">
        <v>0</v>
      </c>
      <c r="O15" s="25">
        <v>0</v>
      </c>
      <c r="P15" s="25">
        <v>0</v>
      </c>
      <c r="Q15" s="25">
        <v>0</v>
      </c>
      <c r="R15" s="25">
        <v>0</v>
      </c>
      <c r="S15" s="25">
        <v>0</v>
      </c>
      <c r="T15" s="25">
        <v>0</v>
      </c>
      <c r="U15" s="25">
        <v>0</v>
      </c>
      <c r="V15" s="25">
        <v>25000000</v>
      </c>
      <c r="W15" s="25">
        <v>0</v>
      </c>
      <c r="X15" s="25">
        <v>0</v>
      </c>
      <c r="Y15" s="25">
        <v>0</v>
      </c>
      <c r="Z15" s="25">
        <v>0</v>
      </c>
      <c r="AA15" s="25">
        <v>0</v>
      </c>
      <c r="AB15" s="26">
        <f t="shared" si="0"/>
        <v>25000000</v>
      </c>
    </row>
    <row r="16" spans="1:28" s="18" customFormat="1" ht="90" x14ac:dyDescent="0.25">
      <c r="A16" s="18" t="s">
        <v>25</v>
      </c>
      <c r="B16" s="18" t="s">
        <v>27</v>
      </c>
      <c r="C16" s="19">
        <v>1905</v>
      </c>
      <c r="D16" s="18" t="s">
        <v>22</v>
      </c>
      <c r="E16" s="19">
        <v>1905029</v>
      </c>
      <c r="F16" s="20">
        <v>190502900</v>
      </c>
      <c r="G16" s="21" t="s">
        <v>60</v>
      </c>
      <c r="H16" s="22" t="s">
        <v>16</v>
      </c>
      <c r="I16" s="23">
        <v>1</v>
      </c>
      <c r="J16" s="23">
        <v>1</v>
      </c>
      <c r="K16" s="24">
        <v>202500000049009</v>
      </c>
      <c r="L16" s="24" t="s">
        <v>30</v>
      </c>
      <c r="M16" s="18" t="s">
        <v>77</v>
      </c>
      <c r="N16" s="25">
        <v>0</v>
      </c>
      <c r="O16" s="25">
        <v>0</v>
      </c>
      <c r="P16" s="25">
        <v>0</v>
      </c>
      <c r="Q16" s="25">
        <v>0</v>
      </c>
      <c r="R16" s="25">
        <v>0</v>
      </c>
      <c r="S16" s="25">
        <v>0</v>
      </c>
      <c r="T16" s="25">
        <v>0</v>
      </c>
      <c r="U16" s="25">
        <v>0</v>
      </c>
      <c r="V16" s="25">
        <v>6000000</v>
      </c>
      <c r="W16" s="25">
        <v>0</v>
      </c>
      <c r="X16" s="25">
        <v>0</v>
      </c>
      <c r="Y16" s="25">
        <v>0</v>
      </c>
      <c r="Z16" s="25">
        <v>0</v>
      </c>
      <c r="AA16" s="25">
        <v>0</v>
      </c>
      <c r="AB16" s="26">
        <f t="shared" si="0"/>
        <v>6000000</v>
      </c>
    </row>
    <row r="17" spans="1:28" s="18" customFormat="1" ht="90" x14ac:dyDescent="0.25">
      <c r="A17" s="18" t="s">
        <v>25</v>
      </c>
      <c r="B17" s="18" t="s">
        <v>27</v>
      </c>
      <c r="C17" s="19">
        <v>1905</v>
      </c>
      <c r="D17" s="18" t="s">
        <v>22</v>
      </c>
      <c r="E17" s="19">
        <v>1905035</v>
      </c>
      <c r="F17" s="20">
        <v>190503505</v>
      </c>
      <c r="G17" s="21" t="s">
        <v>61</v>
      </c>
      <c r="H17" s="22" t="s">
        <v>17</v>
      </c>
      <c r="I17" s="23">
        <v>1</v>
      </c>
      <c r="J17" s="23">
        <v>1</v>
      </c>
      <c r="K17" s="24">
        <v>202500000049028</v>
      </c>
      <c r="L17" s="24" t="s">
        <v>30</v>
      </c>
      <c r="M17" s="18" t="s">
        <v>79</v>
      </c>
      <c r="N17" s="25">
        <v>0</v>
      </c>
      <c r="O17" s="25">
        <v>0</v>
      </c>
      <c r="P17" s="25">
        <v>0</v>
      </c>
      <c r="Q17" s="25">
        <v>0</v>
      </c>
      <c r="R17" s="25">
        <v>0</v>
      </c>
      <c r="S17" s="25">
        <v>0</v>
      </c>
      <c r="T17" s="25">
        <v>0</v>
      </c>
      <c r="U17" s="25">
        <v>0</v>
      </c>
      <c r="V17" s="25">
        <v>15000000</v>
      </c>
      <c r="W17" s="25">
        <v>0</v>
      </c>
      <c r="X17" s="25">
        <v>0</v>
      </c>
      <c r="Y17" s="25">
        <v>0</v>
      </c>
      <c r="Z17" s="25">
        <v>0</v>
      </c>
      <c r="AA17" s="25">
        <v>0</v>
      </c>
      <c r="AB17" s="26">
        <f t="shared" si="0"/>
        <v>15000000</v>
      </c>
    </row>
    <row r="18" spans="1:28" s="18" customFormat="1" ht="225" x14ac:dyDescent="0.25">
      <c r="A18" s="18" t="s">
        <v>25</v>
      </c>
      <c r="B18" s="18" t="s">
        <v>27</v>
      </c>
      <c r="C18" s="19">
        <v>1905</v>
      </c>
      <c r="D18" s="18" t="s">
        <v>22</v>
      </c>
      <c r="E18" s="19">
        <v>1905052</v>
      </c>
      <c r="F18" s="20">
        <v>190505200</v>
      </c>
      <c r="G18" s="21" t="s">
        <v>62</v>
      </c>
      <c r="H18" s="22" t="s">
        <v>18</v>
      </c>
      <c r="I18" s="23">
        <v>5</v>
      </c>
      <c r="J18" s="23">
        <v>1</v>
      </c>
      <c r="K18" s="24">
        <v>202500000049049</v>
      </c>
      <c r="L18" s="24" t="s">
        <v>30</v>
      </c>
      <c r="M18" s="18" t="s">
        <v>82</v>
      </c>
      <c r="N18" s="25">
        <v>0</v>
      </c>
      <c r="O18" s="25">
        <v>0</v>
      </c>
      <c r="P18" s="25">
        <v>0</v>
      </c>
      <c r="Q18" s="25">
        <v>0</v>
      </c>
      <c r="R18" s="25">
        <v>0</v>
      </c>
      <c r="S18" s="25">
        <v>0</v>
      </c>
      <c r="T18" s="25">
        <v>0</v>
      </c>
      <c r="U18" s="25">
        <v>0</v>
      </c>
      <c r="V18" s="25">
        <v>108000000</v>
      </c>
      <c r="W18" s="25">
        <v>0</v>
      </c>
      <c r="X18" s="25">
        <v>0</v>
      </c>
      <c r="Y18" s="25">
        <v>0</v>
      </c>
      <c r="Z18" s="25">
        <v>0</v>
      </c>
      <c r="AA18" s="25">
        <v>0</v>
      </c>
      <c r="AB18" s="26">
        <f t="shared" si="0"/>
        <v>108000000</v>
      </c>
    </row>
    <row r="19" spans="1:28" s="18" customFormat="1" ht="180" x14ac:dyDescent="0.25">
      <c r="A19" s="18" t="s">
        <v>25</v>
      </c>
      <c r="B19" s="18" t="s">
        <v>27</v>
      </c>
      <c r="C19" s="19">
        <v>1906</v>
      </c>
      <c r="D19" s="18" t="s">
        <v>19</v>
      </c>
      <c r="E19" s="19">
        <v>1906044</v>
      </c>
      <c r="F19" s="20">
        <v>190604400</v>
      </c>
      <c r="G19" s="21" t="s">
        <v>63</v>
      </c>
      <c r="H19" s="22" t="s">
        <v>20</v>
      </c>
      <c r="I19" s="23">
        <v>18500</v>
      </c>
      <c r="J19" s="23">
        <f>+I19/4</f>
        <v>4625</v>
      </c>
      <c r="K19" s="24">
        <v>202500000049061</v>
      </c>
      <c r="L19" s="24" t="s">
        <v>30</v>
      </c>
      <c r="M19" s="18" t="s">
        <v>67</v>
      </c>
      <c r="N19" s="25">
        <v>2850535259.7799997</v>
      </c>
      <c r="O19" s="25">
        <v>0</v>
      </c>
      <c r="P19" s="25">
        <v>0</v>
      </c>
      <c r="Q19" s="25">
        <v>0</v>
      </c>
      <c r="R19" s="25">
        <v>0</v>
      </c>
      <c r="S19" s="25">
        <v>0</v>
      </c>
      <c r="T19" s="25">
        <v>0</v>
      </c>
      <c r="U19" s="25">
        <v>0</v>
      </c>
      <c r="V19" s="25">
        <v>13075318810</v>
      </c>
      <c r="W19" s="25">
        <v>0</v>
      </c>
      <c r="X19" s="25">
        <v>6108608.71</v>
      </c>
      <c r="Y19" s="25">
        <v>15515918200.639999</v>
      </c>
      <c r="Z19" s="25">
        <v>0</v>
      </c>
      <c r="AA19" s="25">
        <v>0</v>
      </c>
      <c r="AB19" s="26">
        <f t="shared" si="0"/>
        <v>31447880879.129997</v>
      </c>
    </row>
    <row r="20" spans="1:28" x14ac:dyDescent="0.25">
      <c r="H20" s="1"/>
      <c r="I20" s="1"/>
      <c r="J20" s="1"/>
      <c r="K20" s="8"/>
      <c r="L20" s="15"/>
      <c r="M20" s="1"/>
      <c r="N20" s="9"/>
      <c r="O20" s="9"/>
      <c r="P20" s="9"/>
      <c r="Q20" s="9"/>
      <c r="AB20" s="16">
        <f>SUM(AB3:AB19)</f>
        <v>32269130511.909996</v>
      </c>
    </row>
  </sheetData>
  <mergeCells count="1">
    <mergeCell ref="A1:AB1"/>
  </mergeCells>
  <phoneticPr fontId="7"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POAI - PA - 2026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2025-01-29T02:07:15Z</dcterms:created>
  <dcterms:modified xsi:type="dcterms:W3CDTF">2026-06-10T17:24:05Z</dcterms:modified>
</cp:coreProperties>
</file>