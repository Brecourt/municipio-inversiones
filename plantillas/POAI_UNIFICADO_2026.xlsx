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PAA_2026\"/>
    </mc:Choice>
  </mc:AlternateContent>
  <xr:revisionPtr revIDLastSave="0" documentId="13_ncr:1_{2934BFF3-3E5A-48BB-A71C-ACB574F4893E}" xr6:coauthVersionLast="47" xr6:coauthVersionMax="47" xr10:uidLastSave="{00000000-0000-0000-0000-000000000000}"/>
  <bookViews>
    <workbookView xWindow="-120" yWindow="-120" windowWidth="29040" windowHeight="17520" xr2:uid="{E677481D-6CBE-4C22-B0F0-B717D33FB5A6}"/>
  </bookViews>
  <sheets>
    <sheet name="POAI - PA-2026_V2" sheetId="1" r:id="rId1"/>
  </sheets>
  <definedNames>
    <definedName name="_xlnm._FilterDatabase" localSheetId="0" hidden="1">'POAI - PA-2026_V2'!$A$2:$AE$2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76" i="1" l="1"/>
  <c r="AI77" i="1"/>
  <c r="AI78" i="1"/>
  <c r="AI79" i="1"/>
  <c r="AI80" i="1"/>
  <c r="AI81" i="1"/>
  <c r="AI82" i="1"/>
  <c r="AI83" i="1"/>
  <c r="AI84" i="1"/>
  <c r="AI85" i="1"/>
  <c r="AI86" i="1"/>
  <c r="AI87" i="1"/>
  <c r="AI88" i="1"/>
  <c r="AI89" i="1"/>
  <c r="AI90" i="1"/>
  <c r="AI91" i="1"/>
  <c r="AI75" i="1"/>
  <c r="AI3" i="1" l="1"/>
  <c r="L4" i="1" l="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7" i="1"/>
  <c r="L48" i="1"/>
  <c r="L49" i="1"/>
  <c r="L50" i="1"/>
  <c r="L51" i="1"/>
  <c r="L52" i="1"/>
  <c r="L53" i="1"/>
  <c r="L54" i="1"/>
  <c r="L55" i="1"/>
  <c r="L56" i="1"/>
  <c r="L57" i="1"/>
  <c r="L58" i="1"/>
  <c r="L59" i="1"/>
  <c r="L60" i="1"/>
  <c r="L61" i="1"/>
  <c r="L62" i="1"/>
  <c r="L63" i="1"/>
  <c r="L64" i="1"/>
  <c r="L67" i="1"/>
  <c r="L68" i="1"/>
  <c r="L69" i="1"/>
  <c r="L70" i="1"/>
  <c r="L71" i="1"/>
  <c r="L72" i="1"/>
  <c r="L73" i="1"/>
  <c r="L74" i="1"/>
  <c r="L3" i="1"/>
  <c r="AE67" i="1" l="1"/>
  <c r="AI67" i="1" s="1"/>
  <c r="AE64" i="1"/>
  <c r="AI64" i="1" s="1"/>
  <c r="AE23" i="1"/>
  <c r="AI23" i="1" s="1"/>
  <c r="AE17" i="1"/>
  <c r="AI17" i="1" s="1"/>
  <c r="AE12" i="1"/>
  <c r="AI12" i="1" s="1"/>
  <c r="AE34" i="1"/>
  <c r="AI34" i="1" s="1"/>
  <c r="AE27" i="1"/>
  <c r="AI27" i="1" s="1"/>
  <c r="Q8" i="1" l="1"/>
  <c r="Q11" i="1"/>
  <c r="X45" i="1"/>
  <c r="Q55" i="1"/>
  <c r="Q46" i="1"/>
  <c r="X61" i="1"/>
  <c r="AE33" i="1" l="1"/>
  <c r="AI33" i="1" s="1"/>
  <c r="X54" i="1" l="1"/>
  <c r="AE70" i="1" l="1"/>
  <c r="AI70" i="1" s="1"/>
  <c r="AE39" i="1"/>
  <c r="AI39" i="1" s="1"/>
  <c r="AE37" i="1"/>
  <c r="AI37" i="1" s="1"/>
  <c r="AE38" i="1"/>
  <c r="AE55" i="1"/>
  <c r="AI55" i="1" s="1"/>
  <c r="AE58" i="1"/>
  <c r="AI58" i="1" s="1"/>
  <c r="AE18" i="1"/>
  <c r="AI18" i="1" s="1"/>
  <c r="AE5" i="1"/>
  <c r="AI5" i="1" s="1"/>
  <c r="AE19" i="1" l="1"/>
  <c r="AI19" i="1" s="1"/>
  <c r="AE16" i="1"/>
  <c r="AI16" i="1" s="1"/>
  <c r="AE3" i="1"/>
  <c r="AE4" i="1"/>
  <c r="AI4" i="1" s="1"/>
  <c r="AE6" i="1"/>
  <c r="AI6" i="1" s="1"/>
  <c r="AE7" i="1"/>
  <c r="AI7" i="1" s="1"/>
  <c r="AE8" i="1"/>
  <c r="AI8" i="1" s="1"/>
  <c r="AE9" i="1"/>
  <c r="AI9" i="1" s="1"/>
  <c r="AE10" i="1"/>
  <c r="AI10" i="1" s="1"/>
  <c r="AE11" i="1"/>
  <c r="AI11" i="1" s="1"/>
  <c r="AE13" i="1"/>
  <c r="AI13" i="1" s="1"/>
  <c r="AE14" i="1"/>
  <c r="AI14" i="1" s="1"/>
  <c r="AE15" i="1"/>
  <c r="AI15" i="1" s="1"/>
  <c r="AE20" i="1"/>
  <c r="AI20" i="1" s="1"/>
  <c r="AE21" i="1"/>
  <c r="AI21" i="1" s="1"/>
  <c r="AE22" i="1"/>
  <c r="AI22" i="1" s="1"/>
  <c r="AE24" i="1"/>
  <c r="AI24" i="1" s="1"/>
  <c r="AE25" i="1"/>
  <c r="AI25" i="1" s="1"/>
  <c r="AE26" i="1"/>
  <c r="AI26" i="1" s="1"/>
  <c r="AE28" i="1"/>
  <c r="AI28" i="1" s="1"/>
  <c r="AE29" i="1"/>
  <c r="AI29" i="1" s="1"/>
  <c r="AE30" i="1"/>
  <c r="AI30" i="1" s="1"/>
  <c r="AE31" i="1"/>
  <c r="AI31" i="1" s="1"/>
  <c r="AE32" i="1"/>
  <c r="AI32" i="1" s="1"/>
  <c r="AE35" i="1"/>
  <c r="AI35" i="1" s="1"/>
  <c r="AE36" i="1"/>
  <c r="AI36" i="1" s="1"/>
  <c r="AE40" i="1"/>
  <c r="AI40" i="1" s="1"/>
  <c r="AE41" i="1"/>
  <c r="AI41" i="1" s="1"/>
  <c r="AE42" i="1"/>
  <c r="AI42" i="1" s="1"/>
  <c r="AE43" i="1"/>
  <c r="AI43" i="1" s="1"/>
  <c r="AE44" i="1"/>
  <c r="AI44" i="1" s="1"/>
  <c r="AE45" i="1"/>
  <c r="AI45" i="1" s="1"/>
  <c r="AE46" i="1"/>
  <c r="AI46" i="1" s="1"/>
  <c r="AE47" i="1"/>
  <c r="AI47" i="1" s="1"/>
  <c r="AE48" i="1"/>
  <c r="AI48" i="1" s="1"/>
  <c r="AE49" i="1"/>
  <c r="AI49" i="1" s="1"/>
  <c r="AE50" i="1"/>
  <c r="AI50" i="1" s="1"/>
  <c r="AE51" i="1"/>
  <c r="AI51" i="1" s="1"/>
  <c r="AE52" i="1"/>
  <c r="AI52" i="1" s="1"/>
  <c r="AE53" i="1"/>
  <c r="AI53" i="1" s="1"/>
  <c r="AE54" i="1"/>
  <c r="AI54" i="1" s="1"/>
  <c r="AE56" i="1"/>
  <c r="AI56" i="1" s="1"/>
  <c r="AE57" i="1"/>
  <c r="AI57" i="1" s="1"/>
  <c r="AE59" i="1"/>
  <c r="AI59" i="1" s="1"/>
  <c r="AE60" i="1"/>
  <c r="AI60" i="1" s="1"/>
  <c r="AE61" i="1"/>
  <c r="AI61" i="1" s="1"/>
  <c r="AE62" i="1"/>
  <c r="AI62" i="1" s="1"/>
  <c r="AE63" i="1"/>
  <c r="AI63" i="1" s="1"/>
  <c r="AE65" i="1"/>
  <c r="AI65" i="1" s="1"/>
  <c r="AE66" i="1"/>
  <c r="AI66" i="1" s="1"/>
  <c r="AE68" i="1"/>
  <c r="AI68" i="1" s="1"/>
  <c r="AE69" i="1"/>
  <c r="AI69" i="1" s="1"/>
  <c r="AE71" i="1"/>
  <c r="AI71" i="1" s="1"/>
  <c r="AE72" i="1"/>
  <c r="AI72" i="1" s="1"/>
  <c r="AE73" i="1"/>
  <c r="AI73" i="1" s="1"/>
  <c r="AE74" i="1"/>
  <c r="AI74" i="1" s="1"/>
  <c r="J46" i="1" l="1"/>
  <c r="L46" i="1" s="1"/>
  <c r="J65" i="1"/>
  <c r="L65" i="1" s="1"/>
  <c r="J66" i="1"/>
  <c r="L66" i="1" s="1"/>
</calcChain>
</file>

<file path=xl/sharedStrings.xml><?xml version="1.0" encoding="utf-8"?>
<sst xmlns="http://schemas.openxmlformats.org/spreadsheetml/2006/main" count="803" uniqueCount="482">
  <si>
    <t>Cod. Indicador de Producto</t>
  </si>
  <si>
    <t>Meta Cuatrienio</t>
  </si>
  <si>
    <t>BPIM</t>
  </si>
  <si>
    <t>1.2 Mi Educación con Calidad y Pertinencia (22)</t>
  </si>
  <si>
    <t>1.2.1 Calidad, cobertura y fortalecimiento de la educación inicial, preescolar, básica y media (2201)</t>
  </si>
  <si>
    <t>Beneficiarios del Programa de Alimentación Escolar - Hambre Cero para nuestros niños, niñas y Adolescentes.</t>
  </si>
  <si>
    <t>Beneficiarios del Programa transporte escolar</t>
  </si>
  <si>
    <t>Sedes Educativas con mejoramiento de la infraestructura (baterías sanitarias, comedor, cubiertas y salones)</t>
  </si>
  <si>
    <t>Sedes Educativas con mantenimiento preventivo de la infraestructura</t>
  </si>
  <si>
    <t>Foro Educativo Municipal realizados en el Municipio de Frontino – con enfoque territorial subregional.</t>
  </si>
  <si>
    <t>1.3 Mi Cultura y Patrimonio para el Identidad y el Reconocimiento (33)</t>
  </si>
  <si>
    <t>1.3.1 Promoción y acceso efectivo a procesos culturales y artísticos (3301)</t>
  </si>
  <si>
    <t>Personas atendidas en programa de formación Artística y Cultural desde la Secretaría de Educación, Cultura y Desarrollo Comunitario desde los diferentes espacios. Con enfoque Étnico y Territorial.</t>
  </si>
  <si>
    <t>Usuarios atendidos en la Red municipal de Bibliotecas de Frontino</t>
  </si>
  <si>
    <t>Eventos de Circulación Artística y Cultural Realizado En el Municipio de Frontino</t>
  </si>
  <si>
    <t>Casas de la Cultura con Adecuación y Mantenimiento en el área Urbana y Rural del municipio de Frontino</t>
  </si>
  <si>
    <t xml:space="preserve">Documentos de Planeación Cultural en el Municipio de Frontino Realizados (Plan LEO) </t>
  </si>
  <si>
    <t>1.3.2 Gestión, protección y salvaguardia del patrimonio cultural frontineño (3302)</t>
  </si>
  <si>
    <t xml:space="preserve">Procesos de Salvaguardia del Patrimonio Inmaterial realizados en el municipio de Frontino </t>
  </si>
  <si>
    <t>Publicaciones realizadas para la divulgación y protección del patrimonio Cultural de Frontino</t>
  </si>
  <si>
    <t>1.4 El Deporte y la Recreación nos Une - Actividad Física, Deporte y Recreación para un Frontino Saludable (43)</t>
  </si>
  <si>
    <t>1.4.1 Fomento a la recreación, la actividad física y el deporte (4301)</t>
  </si>
  <si>
    <t>Parques recreativos con mantenimiento periódico en el área urbana y rural</t>
  </si>
  <si>
    <t>Víctimas caracterizadas para su posterior atención, asistencia y reparación integral a través de la oficina municipal de atención a las víctimas</t>
  </si>
  <si>
    <t>Personas con asistencia humanitaria en posibles eventos de violencia en el territorio</t>
  </si>
  <si>
    <t>Niños y niñas atendidos en Servicio integrales en Salud, Alimentación, Educación, psicosocial - entornos protectores</t>
  </si>
  <si>
    <t>Niños, niñas, adolescentes y jóvenes atendidos en los servicios de restablecimiento en la administración de justicia</t>
  </si>
  <si>
    <t>Acciones ejecutadas con las comunidades en temas de fortalecimiento del tejido social y construcción de escenarios comunitarios protectores de derechos.</t>
  </si>
  <si>
    <t>Familias atendidas en de promoción de temas de dinámica relacional y desarrollo autónomo</t>
  </si>
  <si>
    <t>Adultos mayores atendidos con servicios integrales (Salud, Recreación, Cultura, Alimentación)</t>
  </si>
  <si>
    <t>Centros de día para el adulto mayor modificados</t>
  </si>
  <si>
    <t>Personas con discapacidad atendidas con servicios integrales en articulación con las diferentes instituciones y programas en el municipio</t>
  </si>
  <si>
    <t>Mejoramiento de vivienda de Interés Social en el área urbana y rural.</t>
  </si>
  <si>
    <t>Programa de Acceso al agua que incluye la optimización de redes de distribución, desarenadores, número de tanques y viviendas beneficiadas en el área urbano y rural</t>
  </si>
  <si>
    <t>Programa de manejo integral aguas residuales que incluye la ampliación de redes de alcantarillado, colectores, obras conexas y sitios de vertido</t>
  </si>
  <si>
    <t>Número de usuarios de acueducto y alcantarillado beneficiados con subsidio</t>
  </si>
  <si>
    <t>Negocios verdes consolidados con asistencia técnica en el municipio de Frontino</t>
  </si>
  <si>
    <t>Árboles plantados en áreas d procesos de recuperación, fuentes hídricas y reforestación</t>
  </si>
  <si>
    <t xml:space="preserve">Establecer condiciones para la creación de Áreas protegidas para la conservación </t>
  </si>
  <si>
    <t>Personas capacitadas hacia el conocimiento de la biodiversidad y los ecosistemas para sensibilizar a la población despertar la conciencia ambiental.</t>
  </si>
  <si>
    <t>Mejoramiento de la Red de Alumbrado Público incluye cambio de Tecnología de Luminarias</t>
  </si>
  <si>
    <t>Personas capacitadas en seguridad del sector productivo minero - apoyo a la pequeña minería y formalización</t>
  </si>
  <si>
    <t>Unidades productivas mineras beneficiarias de asistencia técnica para regularización y formalización</t>
  </si>
  <si>
    <t>Mejoramiento de vías terciarias para la competitividad del Campo a través de Placas Huella en sitios Críticos</t>
  </si>
  <si>
    <t>Mantenimiento de Puentes en vías terciarias existentes que permitan la movilidad social y económica del sector Rural</t>
  </si>
  <si>
    <t>Mantenimiento preventivo y correctivo en caminos ancestrales existentes que permitan la movilidad social y económica del sector Rural</t>
  </si>
  <si>
    <t>Construcción de Puentes Nuevos en caminos ancestrales existentes que permitan la movilidad social y económica del sector Rural</t>
  </si>
  <si>
    <t>Mantenimiento preventivo y correctivo de Vías Terciarias con intervención periódica preventiva</t>
  </si>
  <si>
    <t xml:space="preserve">Mejoramiento de Vías Urbanas para la movilidad social y económica </t>
  </si>
  <si>
    <t>Programa de capacitación en asuntos turísticos</t>
  </si>
  <si>
    <t>Asistencia Técnica para pequeños productores agropecuarios</t>
  </si>
  <si>
    <t>Organizaciones de productores formales apoyadas la adquisición de competencias comerciales y en casos requeridos, la inserción o consolidación en encadenamientos comerciales.</t>
  </si>
  <si>
    <t>Elaborar Mapas de Zonificación para el ordenamiento social y el desarrollo Agropecuario</t>
  </si>
  <si>
    <t>Cadenas Productivas municipales apoyadas con asistencia y acompañamiento</t>
  </si>
  <si>
    <t>Espacios de participación promovidos para el ejercicio de la participación ciudadana desde los diferentes comités, consejos, mesas, asociaciones y Juntas de Acción Comunal / Asocomunal, Cabildo Adulto Mayor.</t>
  </si>
  <si>
    <t>Apoyo a las Juntas de acción a través adecuación de Salones comunales</t>
  </si>
  <si>
    <t>Obras de infraestructura para la reducción del riesgo de desastres realizadas</t>
  </si>
  <si>
    <t>Personas atendidas en eventos de emergencia o desastre en la jurisdicción del municipio</t>
  </si>
  <si>
    <t xml:space="preserve">Adecuación de los diferentes sedes, oficinas y edificios de la entidad territorial </t>
  </si>
  <si>
    <t xml:space="preserve">Mantenimiento preventivo de los diferentes sedes, oficinas y edificios de la entidad territorial </t>
  </si>
  <si>
    <t>Atención con enfoque diferencial para comunidades étnicas desde la Casa de Justicia Implementados - descentralización de servicios</t>
  </si>
  <si>
    <t>Programas de atención a poblaciones vulnerables en articulación con las demás instituciones del municipio realizadas</t>
  </si>
  <si>
    <t>Servicios de Alimentación para personas privadas de la libertad en el marco de los derechos humanos ejecutados</t>
  </si>
  <si>
    <t>Servicios de acompañamiento  para el desarrollo humano  de personas privadas de la libertad en el marco de los derechos humanos ejecutados</t>
  </si>
  <si>
    <t>Programa</t>
  </si>
  <si>
    <t>Cod Programa</t>
  </si>
  <si>
    <t>Linea</t>
  </si>
  <si>
    <t>LE-1</t>
  </si>
  <si>
    <t>LE-2</t>
  </si>
  <si>
    <t>LE-3</t>
  </si>
  <si>
    <t>LE-4</t>
  </si>
  <si>
    <t>Componente</t>
  </si>
  <si>
    <t xml:space="preserve"> 1.5 Desarrollo Social Inclusivo y Resiliente - Atención Integral a Poblaciones Vulnerables y en Situación de desprotección social (41)</t>
  </si>
  <si>
    <t xml:space="preserve"> 1.5.1 Atención, asistencia y reparación integral a las víctimas del conflicto armado (4101)</t>
  </si>
  <si>
    <t>1.5.2 Desarrollo integral y fortalecimiento de las capacidades de la primera infancia, infancia, adolescencia, la juventud y de las familias. (4102)</t>
  </si>
  <si>
    <t>1.5.4 Atención integral de población en situación permanente de desprotección social y/o familiar: Población en situación de discapacidad, Adulto Mayor y Habitantes de Calle (4104)</t>
  </si>
  <si>
    <t>1.6 Inclusión y Equidad con Vivienda, Ordenamiento del Territorio, Agua Potable y Saneamiento Básico (40)</t>
  </si>
  <si>
    <t xml:space="preserve"> 1.6.1 Acceso a soluciones de vivienda digna (4001)</t>
  </si>
  <si>
    <t>1.6.3 Acceso De La Población A Los Servicios De Agua Potable Y Saneamiento Básico (4003)</t>
  </si>
  <si>
    <t>2.1 Medio Ambiente Viable y Perdurable - Sostenibilidad y Conservación del Agua, la Biodiversidad y la Acción climática (32)</t>
  </si>
  <si>
    <t>2.1.1 Fortalecimiento del desempeño ambiental de los sectores productivos (3201)</t>
  </si>
  <si>
    <t>2.1.2 Conservación de la biodiversidad y sus servicios ecosistémicos para el desarrollo territorial (3202)</t>
  </si>
  <si>
    <t>2.1.3 Gestión integral del recurso hídrico y cuidado del agua (3203)</t>
  </si>
  <si>
    <t>2.1.8 Educación ambiental (3208)</t>
  </si>
  <si>
    <t>3.1 Minería Limpia Y Energía Sostenible Para El Desarrollo Sustentable (21)</t>
  </si>
  <si>
    <t>.1.1 Consolidación productiva del sector de energía eléctrica (2102)</t>
  </si>
  <si>
    <t>3.1.2 Consolidación productiva del sector minero social, justo y sostenible (2104)</t>
  </si>
  <si>
    <t>3.2 Movilidad Sostenible - Transporte y Seguridad Vial (24)</t>
  </si>
  <si>
    <t>3.2.1 Infraestructura red vial regional para el desarrollo (2402)</t>
  </si>
  <si>
    <t>3.2.2 Acciones de Seguridad en el transporte y la Movilidad (2409)</t>
  </si>
  <si>
    <t>3.3 Emprendimiento, Comercio y Turismo Sostenible para el Desarrollo Económico y Social (35)</t>
  </si>
  <si>
    <t>3.3.1 Productividad y competitividad desde el Turismo y la Agroindustria de las empresas frontineñas (3502)</t>
  </si>
  <si>
    <t>3.5 El Campo Es Primero, Agricultura Y Desarrollo Rural Para La Competitividad Y La Productividad (17)</t>
  </si>
  <si>
    <t>3.5.1 Inclusión productiva de pequeños productores rurales (1702)</t>
  </si>
  <si>
    <t>3.5.2 Ordenamiento social y uso productivo del territorio rural (1704)</t>
  </si>
  <si>
    <t>3.5.5 Infraestructura productiva y comercialización de productos agropecuarios frontineños (1709)</t>
  </si>
  <si>
    <t>4.2 Dignidad en lo Público, Gobierno Territorial para el cambio (45)</t>
  </si>
  <si>
    <t>4.2.2 Fortalecimiento del buen gobierno para el respeto y garantía de los derechos humanos (4502)</t>
  </si>
  <si>
    <t>4.2.3 Gestión del riesgo de desastres y emergencias (4503)</t>
  </si>
  <si>
    <t>4.2.4 Fortalecimiento a la gestión y dirección de la administración pública territorial (4599)</t>
  </si>
  <si>
    <t>4.3 Acceso Ciudadano a la Justicia y el Derecho (12)</t>
  </si>
  <si>
    <t>4.3.1 Promoción al acceso a la justicia (1202)</t>
  </si>
  <si>
    <t>4.3.2 Sistema penitenciario y carcelario en el marco de los derechos humanos (1206)</t>
  </si>
  <si>
    <t>Actividades - Acciones - Estrategias</t>
  </si>
  <si>
    <t>Dependencia Responsable</t>
  </si>
  <si>
    <t>Secretaría de Salud y Proteccion Social</t>
  </si>
  <si>
    <t>Secretaria de Educacion, Cultura y Desarrollo Comunitario</t>
  </si>
  <si>
    <t>Junta Municipal de Deportes</t>
  </si>
  <si>
    <t>Secretaría Gobierno y Servicios Administrativos</t>
  </si>
  <si>
    <t>Secretaria Agricultura y Medio Ambiente</t>
  </si>
  <si>
    <t>Secretaría de Planeación y Desarrollo Territorial</t>
  </si>
  <si>
    <t>Secretaria de Transito y Movilidad</t>
  </si>
  <si>
    <t xml:space="preserve">Recursos Propios </t>
  </si>
  <si>
    <t xml:space="preserve">SGP Alimentacion Escolar </t>
  </si>
  <si>
    <t xml:space="preserve">SGP APSB </t>
  </si>
  <si>
    <t xml:space="preserve">SGP Cultura </t>
  </si>
  <si>
    <t xml:space="preserve">SGP Deporte </t>
  </si>
  <si>
    <t xml:space="preserve">SGP Educacion </t>
  </si>
  <si>
    <t xml:space="preserve">SGP Libre Destinación </t>
  </si>
  <si>
    <t xml:space="preserve">SGP Libre Inversion </t>
  </si>
  <si>
    <t xml:space="preserve"> SGP Salud </t>
  </si>
  <si>
    <t xml:space="preserve"> Regalías </t>
  </si>
  <si>
    <t>Cofinanciación Departamento</t>
  </si>
  <si>
    <t>Cofinanciación Nacion</t>
  </si>
  <si>
    <t>Credito</t>
  </si>
  <si>
    <t>Otros</t>
  </si>
  <si>
    <t>Indicador MGA</t>
  </si>
  <si>
    <t>Beneficiarios de la alimentación escolar</t>
  </si>
  <si>
    <t>Beneficiarios de transporte escolar</t>
  </si>
  <si>
    <t xml:space="preserve">Sedes educativas mejoradas </t>
  </si>
  <si>
    <t>Foros educativos territoriales realizados</t>
  </si>
  <si>
    <t>Personas capacitadas</t>
  </si>
  <si>
    <t>Usuarios atendidos</t>
  </si>
  <si>
    <t>Eventos de promoción de actividades culturales realizados</t>
  </si>
  <si>
    <t>Casas de la cultura adecuadas</t>
  </si>
  <si>
    <t>Documentos de planeación realizados</t>
  </si>
  <si>
    <t>Procesos de salvaguardia efectiva del patrimonio inmaterial realizados</t>
  </si>
  <si>
    <t>Adultos mayores atendidos con servicios integrales</t>
  </si>
  <si>
    <t>Personas con discapacidad atendidas con servicios integrales</t>
  </si>
  <si>
    <t>Vivienda de Interés Social mejoradas</t>
  </si>
  <si>
    <t>Acueductos optimizados</t>
  </si>
  <si>
    <t>Alcantarillados ampliados</t>
  </si>
  <si>
    <t>Usuarios beneficiados con subsidios al consumo</t>
  </si>
  <si>
    <t>Documentos de investigación realizados</t>
  </si>
  <si>
    <t>Árboles plantados</t>
  </si>
  <si>
    <t>Áreas protegidas</t>
  </si>
  <si>
    <t>Redes de alumbrado público mejoradas</t>
  </si>
  <si>
    <t>Personas capacitadas en seguridad minera</t>
  </si>
  <si>
    <t>Unidades productivas mineras beneficiarias de asistencia técnica para regularización</t>
  </si>
  <si>
    <t>Vía terciaria mejorada</t>
  </si>
  <si>
    <t>Puentes de la red terciaria con mantenimiento</t>
  </si>
  <si>
    <t xml:space="preserve">Caminos ancestrales con mantenimiento </t>
  </si>
  <si>
    <t xml:space="preserve">Puente construido en caminos ancestrales </t>
  </si>
  <si>
    <t xml:space="preserve">Vía terciaria con mantenimiento </t>
  </si>
  <si>
    <t xml:space="preserve">Vía urbana mejorada </t>
  </si>
  <si>
    <t>Pequeños productores rurales asistidos técnicamente</t>
  </si>
  <si>
    <t>Mapas de zonificación elaborados</t>
  </si>
  <si>
    <t>Cadenas productivas apoyadas</t>
  </si>
  <si>
    <t>Espacios de participación promovidos</t>
  </si>
  <si>
    <t>Salones comunales adecuados</t>
  </si>
  <si>
    <t>Personas afectadas por situaciones de emergencia, desastre o declaratorias de calamidad pública apoyadas</t>
  </si>
  <si>
    <t>Descripcion Indicador PDM</t>
  </si>
  <si>
    <t>Negocios verdes consolidados con asistencia técnica</t>
  </si>
  <si>
    <t>EN ARTICULACIÓN CON CORPOURABA Y MEDIANTE EL PROFESIONAL AMBIENTAL DE LA SECRETARIA DE AGRICULTURA Y MEDIO AMBIENTE SE VA A REALIZAR LA CARACTERIZACION Y ASISTENCIA TECNICA DE NEGOCIOS VERDES YA IDENTIFICADOS EN EL MUNICIPIO</t>
  </si>
  <si>
    <t>Inventario Municipal de Flora y Fauna Realizado</t>
  </si>
  <si>
    <t>PARA ESTE AÑO SE PROYECTARA REALIZAR UN CONVENIO CON ENTIDADES PUBLICAS Y PRIVADAS PARA LEVANTAR INVENTARIO DE FLORA Y FAUNA DE PREDIOS DE IMPORTANCIA AMBIENTAL</t>
  </si>
  <si>
    <t>PARA EL CUMPLIMIENTO DE LAS METAS DEL AÑO 2025 SE VAN A REFORESTAR DOS PREDIOS DEL MUNICIPIO DESTINADOS A LA CONSERVACIÓN DE FUENTES HIDRICAS</t>
  </si>
  <si>
    <t xml:space="preserve">Personas capacitadas hacia el 
conocimiento de la 
biodiversidad y los ecosistemas 
para sensibilizar a la población 
despertar la conciencia 
ambiental. </t>
  </si>
  <si>
    <t>PARA EL 2025 SE CUMPLIRA LA META MEDIANTE CONVENIOS CON ENTIDADES PUBLICAS Y PRIVADAS Y CAPACITACIONES A GRUPOS ORGANIZADOS</t>
  </si>
  <si>
    <t>SE CAPACITARA A LOS MINEROS DEL TITULO 3911 EN ARTICULACION CON SECRETARIA DE MINAS DE LA GOBERNACION DE ANTIOQUIA</t>
  </si>
  <si>
    <t>ESTA META SE CUMPLIRA MEDIANTE LA CONTRATACION DE PROFESIONALES Y TECNOLOGOS QUIENES ATENDIERON LOS PRINCIPALES SECTORES ECONOMICOS DEL MUNICIPIO: GANADERIA, CAÑA, CAFÉ, CACAO, HORTALIZAS, ENTRE OTROS</t>
  </si>
  <si>
    <t xml:space="preserve">Organizaciones de productores 
formales apoyadas la 
adquisición de competencias 
comerciales y en casos 
requeridos, la inserción o 
consolidación en 
encadenamientos comerciales. </t>
  </si>
  <si>
    <t>ESTA ACTIVIDAD SE REALIZARA EN ARTICULACION CON ENTIDADES PUBLICAS, PRIVADAS Y CONVENIOS INTERADMINISTRATIVOS</t>
  </si>
  <si>
    <t>ESTA ACTIVIDAD SE CUMPLIRA MEDIANTE LA CONTRATACION DE PROFESIONALES QUE BRINDEN ASISTENCIA TECNICA AGROPECUARIA</t>
  </si>
  <si>
    <t xml:space="preserve">Victimas caracterizadas para su posterior atencion, asistencia y reparacion integral </t>
  </si>
  <si>
    <t>1. Articulacion interinstitucional con la UARIV y la gobernacion de antioquia para caracterizar victimas
2. Talento Humano Enlace de Victimas</t>
  </si>
  <si>
    <t>Personas con asistencia humanitaria a las victimas del conflicto armado</t>
  </si>
  <si>
    <t>1. Actividad por Ocurrencia de Evento - Demanda</t>
  </si>
  <si>
    <t>Niños y niñas atendidos en servicios integrales</t>
  </si>
  <si>
    <t>Garantizar la contratacion del equipo interdisciplinario de la comisaria de familia y garantizar la continuidad en la contratacion del hogar de paso</t>
  </si>
  <si>
    <t>Garantizar la contratacion del equipo interdisciplinario de la comisaria de familia , garantizar la continuidad en la contratacion del hogar de paso y articulacion con el SNBF para la garantia de derechos de NNA</t>
  </si>
  <si>
    <t>Familias atendidas en la promoción de temas de dinámica relacional y desarrollo autónomo</t>
  </si>
  <si>
    <t>Garantizar el equipo interdisciplinario completo de la comisaria de familia, realizar charlas sobre convivencia familiar articulado con las instituciones educativas</t>
  </si>
  <si>
    <t>Contratar el mantenimiento</t>
  </si>
  <si>
    <t>Sedes administrativas adecuadas</t>
  </si>
  <si>
    <t>Contratar la adecuacion</t>
  </si>
  <si>
    <t>Sedes administrativas mantenidad</t>
  </si>
  <si>
    <t>Iniciativas viabilizadas apoyadas a las comunidades etnicas, al programa nacional de casa de justicia y las iniciativas, estretegias y poryectos en materia de acceso a la justicia</t>
  </si>
  <si>
    <t>Espacios de articulacion generados</t>
  </si>
  <si>
    <t>Personas privadas de la libertad (PPL) con servicio de alimentacion</t>
  </si>
  <si>
    <t>Grantizar la continuidad del suministro de alimentacion a PPL</t>
  </si>
  <si>
    <t>Personas beneficiarias de procesos de informacion para el trabajo y desarrollo humano</t>
  </si>
  <si>
    <t xml:space="preserve">Garantizar la socializacion de derechos humanos a los PPL </t>
  </si>
  <si>
    <t>Ocurrencia Por Evento Emergencias o Desastres</t>
  </si>
  <si>
    <t>1. Construcción de Obras de Mitigación</t>
  </si>
  <si>
    <t>1. Desarrollo de Mejoramientos de Vivienda - Cofinanciación Entidades</t>
  </si>
  <si>
    <t>1. Construccion de Viviendas - Obra Publica</t>
  </si>
  <si>
    <t>1. Obra Publica - Optimizacion de Acueductos</t>
  </si>
  <si>
    <t>1. Obra Publica - Ampliacion de Alcantarillados</t>
  </si>
  <si>
    <t>1. Transferencia de Subsidios para Beneficiarios APSB</t>
  </si>
  <si>
    <t>1. Ampliación cobertura cambio de tecnologia alumbrado publico - convenio EPM</t>
  </si>
  <si>
    <t>1. Obra Publica - Construcción de Placa Huella</t>
  </si>
  <si>
    <t>1. Obra Publica - Mantenimiento de Puente</t>
  </si>
  <si>
    <t>1. Obra Publica - Mantenimiento caminos Ancestrales</t>
  </si>
  <si>
    <t>1. Obra Publica - Construcción de Puente en caminos Ancestrales</t>
  </si>
  <si>
    <t>1. Obra Publica Mantenimiento Preventivo de Red Terciaria</t>
  </si>
  <si>
    <t>1. Mejoramiento de Red Vial Urbana</t>
  </si>
  <si>
    <t xml:space="preserve">Realizar la gestión de recursos y convenio con la Gobernación de Antioquia para garantizar el programa de alimentación escolar a los niños, niñas y jovenes del Municipio de Frontino. </t>
  </si>
  <si>
    <t xml:space="preserve">Realizar la gestión de recursos para garantizar el transporte escolar y la contratación para la prestación del servicio de transporte de los niños, niñas y jovenes desde el área rural hacia las sedes de las instituciones educativas de la zona urbana y de los centros poblados. </t>
  </si>
  <si>
    <t xml:space="preserve">Realizar la gestión de proyectos de adecuación y mejoramiento de la infraestructura de las sedes educativas, con la realización previa del diagnostico y ejecución del proyecto que podrá incluir la entrega de materiales a la Institución Educativa o la contratación de la adecuación </t>
  </si>
  <si>
    <t>Acercamiento con los rectores para definir la programación y realizar la gestión y contratación del recurso humano y logistico requerido para la realización de los foros educativos</t>
  </si>
  <si>
    <t>contratación del talento humano en danza, música, artes visuales, literatura y bliblioteca, extensión cultural en el corregimiento de Nutibara.</t>
  </si>
  <si>
    <t>Servicios Bilbliotecarios</t>
  </si>
  <si>
    <t>1. Cultura al Barrio - Agenda Cultural - Diagnostico
2. Noche de Talentos
3. Mes de la Mujer - 8 de Marzo
4. Semana Santa - Articulación - Domingo 13 al 20 de Abril
5. Mes de la Niñez - Abril
7. Dia del Idioma 23 de Abril
8. Dia del Maestro 15 de Abril
9. Mes de las Madres Mayo
10. Vaca Loca - 15 de Julio
11. Dia del Café - 29 de Junio
12. Encuentro de Poetas Agosto
13. Celebra la Musica Noviembre
14. Independencia 20 de Julio
10. Dia de la Antioqueñidad 11 de Agosto
11. Frontineñidad 12 de Septiembre
12. Festival de las Musicas y las Danzas
13. Festival de Bailadores
14. Fiestas del Cacique
15. Festival de la Trova
16. 100 Años Llegada de los Carmelitas
17. Afrocolombianidad - Altos de Murri
18. Pueblos Indigenas
19. Frontino al Parque Viviendo la Musica
20. Fiestas del Campesino</t>
  </si>
  <si>
    <t>1. Gestion de Recursos Para Mantinimiento Casa de la Cultura de Nutibara</t>
  </si>
  <si>
    <t>1. Recursos Instituto de Cultura</t>
  </si>
  <si>
    <t>1. Capacitación de agentes y operadores turisticos</t>
  </si>
  <si>
    <t>1. Talento Humano para la coordinación del Proceso de Inclusión Social y Desarrollo Comunitario.
2. Talento Humano Inclusion Social</t>
  </si>
  <si>
    <t>1. Adecuación de Salones o Casetas Comunales</t>
  </si>
  <si>
    <t>Parques recreativos
mantenidos</t>
  </si>
  <si>
    <t xml:space="preserve">1. Programación de aseo periodico a parques recreativo. 
2. Realización de mantenimiento preventivo de la infraestructura recreativa.  </t>
  </si>
  <si>
    <t>Personas que acceden a
servicios deportivos, recreativos
y de actividad física</t>
  </si>
  <si>
    <t xml:space="preserve">Personas que acceden a servicios deportivos, recreativos y de actividad física en el área rural y urbana del municipio de Frontino
(JAC, I.E, actvidades comunitarios, apoyos otras entidades, caminadas iglesia)  </t>
  </si>
  <si>
    <t xml:space="preserve">1. Apoyo con programación deportiva, recreativa y de actividad fisica en las jornadas descentralizadas de la administración municipal. 
2. Mantenimiento y aseo de los escenarios recreo deportivos, gimnasio al aire libre, para la practica libre y dirigida con la comunidad. 
3. Participacion y articulacion con diferentes entidades e instituciones publicas y privadas para la realización de actividades y eventos. </t>
  </si>
  <si>
    <t>SE CUMPLIRA LA META EN ARTICULACION CON ENTIDADES PUBLICAS Y PRIVADAS - Capacidad Instalada SAMA</t>
  </si>
  <si>
    <t>1. Talento Humano para la Coordinación y articulación de oferta institucional y propia</t>
  </si>
  <si>
    <t xml:space="preserve">1. Obra Publica - Proyecto para la Adecuación de Centro Dia </t>
  </si>
  <si>
    <t>1. Talento Humano para la atencion a Personas con Discapacidad en servicios integrales - Articulacion Secretaria de Salud y Educación</t>
  </si>
  <si>
    <t>Producto MGA</t>
  </si>
  <si>
    <t>2201028</t>
  </si>
  <si>
    <t>2201029</t>
  </si>
  <si>
    <t>2201052</t>
  </si>
  <si>
    <t>2201049</t>
  </si>
  <si>
    <t>3301051</t>
  </si>
  <si>
    <t>3301085</t>
  </si>
  <si>
    <t>3301053</t>
  </si>
  <si>
    <t>3301018</t>
  </si>
  <si>
    <t>3301129</t>
  </si>
  <si>
    <t>3302049</t>
  </si>
  <si>
    <t>4301037</t>
  </si>
  <si>
    <t>4101014</t>
  </si>
  <si>
    <t>4101025</t>
  </si>
  <si>
    <t>4102001</t>
  </si>
  <si>
    <t>4102038</t>
  </si>
  <si>
    <t>4102042</t>
  </si>
  <si>
    <t>4102043</t>
  </si>
  <si>
    <t>4104008</t>
  </si>
  <si>
    <t>4104012</t>
  </si>
  <si>
    <t>4104020</t>
  </si>
  <si>
    <t>4001044</t>
  </si>
  <si>
    <t>4003017</t>
  </si>
  <si>
    <t>4003019</t>
  </si>
  <si>
    <t>4003047</t>
  </si>
  <si>
    <t>3201003</t>
  </si>
  <si>
    <t>3202004</t>
  </si>
  <si>
    <t>3202041</t>
  </si>
  <si>
    <t>3203050</t>
  </si>
  <si>
    <t>3208010</t>
  </si>
  <si>
    <t>2102013</t>
  </si>
  <si>
    <t>2104010</t>
  </si>
  <si>
    <t>2104018</t>
  </si>
  <si>
    <t>2402042</t>
  </si>
  <si>
    <t>2402048</t>
  </si>
  <si>
    <t>2402056</t>
  </si>
  <si>
    <t>2402057</t>
  </si>
  <si>
    <t>2402112</t>
  </si>
  <si>
    <t>2402114</t>
  </si>
  <si>
    <t>3502045</t>
  </si>
  <si>
    <t>1702010</t>
  </si>
  <si>
    <t>1702038</t>
  </si>
  <si>
    <t>1704001</t>
  </si>
  <si>
    <t>1709105</t>
  </si>
  <si>
    <t>4502001</t>
  </si>
  <si>
    <t>4502003</t>
  </si>
  <si>
    <t>4503022</t>
  </si>
  <si>
    <t>4503028</t>
  </si>
  <si>
    <t>4599011</t>
  </si>
  <si>
    <t>4599016</t>
  </si>
  <si>
    <t>1202018</t>
  </si>
  <si>
    <t>1206007</t>
  </si>
  <si>
    <t>1206014</t>
  </si>
  <si>
    <t>Sedes mantenidas (Servicios Publicos)</t>
  </si>
  <si>
    <t>Realizar en articulación con las Instituciones Educativas los mantenimientos preventivos de las sedes educativas con la entrega de materiales, acompañamiento del equipo de planeación y la participación de la comunidad. - Pago de Servicios Publicos</t>
  </si>
  <si>
    <t>1. Procesos Investigacion Patrimonio cofinanciación</t>
  </si>
  <si>
    <t>3302075</t>
  </si>
  <si>
    <t>Servicio de Archivos Patrimoniales</t>
  </si>
  <si>
    <t>1. Archivos Patrimoniales - Publicaciones</t>
  </si>
  <si>
    <t>Gimnasios al Aire libre construidos</t>
  </si>
  <si>
    <t>1. Construcción de Gimnasios al Aire libre</t>
  </si>
  <si>
    <t>Garantizar Funcionamiemto Inspección Municipal y Acompañamiento Integral a Comunidades</t>
  </si>
  <si>
    <t>1206005</t>
  </si>
  <si>
    <t>Convenio INPEC</t>
  </si>
  <si>
    <t xml:space="preserve">Formulación de plan de Desarrollo Agropecuario y Rural </t>
  </si>
  <si>
    <t>TALENTO HUMANO PARA EL DESARROLLO DE LA FORMULACION</t>
  </si>
  <si>
    <t>Vías con dispositivos de control y señalización</t>
  </si>
  <si>
    <t>Vías con dispositivos de control y señalización instalados</t>
  </si>
  <si>
    <t>1. Incluye la señalización sonora, táctil, visual o mixta, así como la implementación de dispositivos de control para la seguridad vial.</t>
  </si>
  <si>
    <t xml:space="preserve">Establecimiento de Areas - Estudios </t>
  </si>
  <si>
    <t>Vivienda de Interés Prioritario construidas</t>
  </si>
  <si>
    <t>Construcción de viviendas de Interés Prioritario</t>
  </si>
  <si>
    <t>Acueductos ampliados</t>
  </si>
  <si>
    <t>4003016</t>
  </si>
  <si>
    <t>Conjunto de acciones y obras requeridas para aumentar la capacidad del acueducto en una misma área de cobertura.</t>
  </si>
  <si>
    <t>Alcantarillados optimizados</t>
  </si>
  <si>
    <t>Conjunto de acciones encaminadas a mejorar la capacidad, eficiencia y eficacia de la infraestructura componente del sistema de alcantarillado mediante su intervención parcial o total.</t>
  </si>
  <si>
    <t>1. Obra Publica - Optimizacion de Alcantarillados</t>
  </si>
  <si>
    <t>Servicios de apoyo financiero para la ejecución de proyectos de acueductos y alcantarillado</t>
  </si>
  <si>
    <t>Proyectos de acueducto y alcantarillado en área urbana financiados</t>
  </si>
  <si>
    <t>Prestación de servicios de asistencia profesional y técnica para fortalecer la gestión administrativa y operativa de la Alcaldía del Municipio de  Frontino</t>
  </si>
  <si>
    <t>Servicio de asistencia técnica</t>
  </si>
  <si>
    <t>Entidades, organismos y dependencias asistidos técnicamente</t>
  </si>
  <si>
    <t>Meta 2026</t>
  </si>
  <si>
    <t>CONVENIO Y ENTIDADES PUBLICAS Y PRIVADAS</t>
  </si>
  <si>
    <t>Vivienda de Interés Social construidas</t>
  </si>
  <si>
    <t>Construcción de viviendas de Interés Social en el área urbana y rural</t>
  </si>
  <si>
    <t>1. Construccion  de Vivienda de Interes Social - Cofinanciación Entidades</t>
  </si>
  <si>
    <t>1.5.3 Inclusión social y productiva para la población en situación de vulnerabilidad: Población Desplazada, Pobreza y Pobreza Extrema (4103)</t>
  </si>
  <si>
    <t>Centros comunitarios dotados</t>
  </si>
  <si>
    <t xml:space="preserve">Dotación de centro comunitario para el fortalecimiento social, cultural y formativo de la población afrodescendiente del corregimiento de Murrí, municipio de  Frontino </t>
  </si>
  <si>
    <t>Vivienda de Interes Prioritario mejoradas</t>
  </si>
  <si>
    <t>Mejoramiento de viviendas de interés prioritario en el área urbana y rural</t>
  </si>
  <si>
    <t>1. Construccion  de Vivienda de Interes Prioritario- Cofinanciación Entidades</t>
  </si>
  <si>
    <t>Infraestructuras culturales dotadas</t>
  </si>
  <si>
    <t>Infraestructuras culturales dotadas en el área urbana y rural</t>
  </si>
  <si>
    <t>Dotación Musica y Danza Centro Cultural GWDV</t>
  </si>
  <si>
    <t>Canchas multifuncionales mantenidas</t>
  </si>
  <si>
    <t>Adecuación de canchas deportivas para el fortalecimiento de la actividad física y la convivencia en el municipio de Frontino</t>
  </si>
  <si>
    <t>Edificaciones de atencion a la primera infancia dotadas</t>
  </si>
  <si>
    <t>Dotación de espacios para la primera infancia</t>
  </si>
  <si>
    <t>Dotación de edificaciones para la prestación del servicio de atención integral a la primera infancia en el municipio de Frontino</t>
  </si>
  <si>
    <t>Estrategias de promoción de la garantía de derechos orientadas a promover los mecanismos de atención, protección y ejercicio de derechos de las mujeres, población LGTBI y comunidades en riesgo, asi como la prevencion de su vulneracion</t>
  </si>
  <si>
    <t>Implementación de estrategias de promoción de la garantía de derechos orientadas a promover los mecanismos de atención, protección y ejercicio de derechos de las mujeres, población LGTBI y comunidades en riesgo del municipio</t>
  </si>
  <si>
    <t>Implementación de la Política Pública de Mujer y Equidad de Género para la promoción y garantía de derechos en el municipio de Frontino</t>
  </si>
  <si>
    <t>Cuerpos de bomberos disponibles para la prevención y control de incendios en la entidad territorial</t>
  </si>
  <si>
    <t>Fortalecimiento del servicio de prevención y control de incendios para la gestión integral del riesgo en el municipio de Frontino</t>
  </si>
  <si>
    <t>TOTAL - Programado</t>
  </si>
  <si>
    <t>Avance Financiero (Pagos) - 31 Mayo</t>
  </si>
  <si>
    <t>Avance Financiero (Comrpomisos - RP´S) - 31 Mayo</t>
  </si>
  <si>
    <t>Nombre del Proyecto - Programa</t>
  </si>
  <si>
    <t xml:space="preserve">Fortalecimiento de la permanencia escolar mediante la implementación integral del Programa de Alimentación Escolar -PAE- en el municipio de  Frontino </t>
  </si>
  <si>
    <t xml:space="preserve">Fortalecimiento de la permanencia escolar mediante la implementación del servicio de transporte escolar para estudiantes de instituciones educativas oficiales del municipio de  Frontino </t>
  </si>
  <si>
    <t xml:space="preserve">Mejoramiento integral de la infraestructura educativa para fortalecer las condiciones de prestación del servicio educativo en el municipio de  Frontino </t>
  </si>
  <si>
    <t xml:space="preserve">Prestación continua del servicio educativo mediante el pago de servicios públicos domiciliarios en las instituciones educativas oficiales del municipio de  Frontino </t>
  </si>
  <si>
    <t xml:space="preserve">Fortalecimiento de la calidad educativa mediante la realización del Foro Educativo Municipal en el municipio de  Frontino </t>
  </si>
  <si>
    <t xml:space="preserve">Fortalecimiento de las capacidades del sector artístico y cultural mediante la prestación del servicio de educación informal en el municipio de  Frontino </t>
  </si>
  <si>
    <t xml:space="preserve">Prestación de los servicios bibliotecarios para el acceso a la información y la cultura en el municipio de  Frontino </t>
  </si>
  <si>
    <t xml:space="preserve">Servicio para la Promoción y realización de actividades culturales y de circulación artística en el municipio de  Frontino </t>
  </si>
  <si>
    <t xml:space="preserve">Adecuación de la Casa de la Cultura del corregimiento de Nutibara para el fortalecimiento del acceso a procesos culturales y artísticos del Municipio de  Frontino </t>
  </si>
  <si>
    <t>Dotación de infraestructura Cultural para el fortalecimiento de los procesos formativos y de proyección artístico en Danza y Música del municipio de Frontino</t>
  </si>
  <si>
    <t xml:space="preserve">Formulación del Plan Municipal de Lectura, Escritura y Oralidad (LEO) para el fortalecimiento de los procesos culturales y educativos del municipio de  Frontino </t>
  </si>
  <si>
    <t xml:space="preserve">Servicio de Salvaguardia integral del patrimonio cultural inmaterial del municipio  Frontino </t>
  </si>
  <si>
    <t xml:space="preserve">Fortalecimiento de la gestión documental y archivística para la protección del patrimonio documental del municipio de  Frontino </t>
  </si>
  <si>
    <t xml:space="preserve">Construcción de parques recreativos para el fomento de la recreación y la convivencia ciudadana en el municipio de  Frontino </t>
  </si>
  <si>
    <t xml:space="preserve">Instalación de gimnasios biosaludables al aire libre para el fomento de la actividad física y la convivencia en el municipio  Frontino </t>
  </si>
  <si>
    <t xml:space="preserve">Desarrollo del Convenio para Promoción de la actividad física, recreación y deporte entre la Junta Municipal de Deportes - JUNDEPORTES Frontino y el municipio de  Frontino </t>
  </si>
  <si>
    <t xml:space="preserve">Prestación del servicio de caracterización de la población víctima del conflicto armado para su atención, asistencia y reparación integral en el municipio de  Frontino </t>
  </si>
  <si>
    <t xml:space="preserve">Prestación del servicio de ayuda y atención humanitaria a víctimas del conflicto armado en el municipio de  Frontino </t>
  </si>
  <si>
    <t xml:space="preserve">Prestación del servicio de atención integral a la primera infancia mediante la operación de Hogares de Paso en el municipio de  Frontino </t>
  </si>
  <si>
    <t xml:space="preserve">Prestación de servicios de atención pedagógica y restaurativa para la inclusión social de niños, niñas, adolescentes y jóvenes mediante la operación de la Comisaría de Familia en la Casa de Justicia del municipio de  Frontino </t>
  </si>
  <si>
    <t xml:space="preserve">Fortalecimiento del tejido social y del Sistema Municipal de Juventudes en el municipio de  Frontino </t>
  </si>
  <si>
    <t xml:space="preserve">Desarrollo de programa Renta Ciudadana enfocado en la dinámica relacional familiar, desarrollo autónomo de familias vulnerables y acompañamiento a la superación de la pobreza en el municipio de  Frontino </t>
  </si>
  <si>
    <t xml:space="preserve">Prestación del servicio de atención y protección integral al adulto mayor en el municipio de  Frontino </t>
  </si>
  <si>
    <t xml:space="preserve">Mejoramiento y adecuación del Centro de Protección Social de Día para el Adulto Mayor en el municipio de  Frontino </t>
  </si>
  <si>
    <t xml:space="preserve">Prestación del servicio de atención integral a la población en condición de discapacidad en el municipio de  Frontino </t>
  </si>
  <si>
    <t xml:space="preserve">Construcción e Viviendas de Interés Prioritario para la reducción del déficit habitacional en el municipio de  Frontino </t>
  </si>
  <si>
    <t xml:space="preserve">Mejoramiento de Viviendas de Interés Social para el fortalecimiento de condiciones de habitabilidad en el municipio de  Frontino </t>
  </si>
  <si>
    <t>Construcción y entrega de viviendas de interés social para hogares en condición de vulnerabilidad en el municipio de Frontino</t>
  </si>
  <si>
    <t>Mejoramiento de Viviendas de Interés Prioritario VIP para el fortalecimiento de condiciones de habitabilidad en el municipio de Frontino</t>
  </si>
  <si>
    <t xml:space="preserve">Optimización de los sistemas de acueducto para mejorar el acceso al agua potable en el municipio de  Frontino </t>
  </si>
  <si>
    <t xml:space="preserve">Ampliación de los sistemas de alcantarillado para fortalecer el saneamiento básico en el municipio de  Frontino </t>
  </si>
  <si>
    <t xml:space="preserve">Optimización de los sistemas de alcantarillado para mejorar el saneamiento básico en el municipio de  Frontino </t>
  </si>
  <si>
    <t xml:space="preserve">Ampliación de los sistemas de acueducto para fortalecer el acceso al agua potable en el municipio de  Frontino </t>
  </si>
  <si>
    <t xml:space="preserve">Apoyo financiero municipal para la ejecución de proyectos de acueducto y alcantarillado a través del Plan Departamental de Aguas PDA en el municipio de  Frontino </t>
  </si>
  <si>
    <t xml:space="preserve">Apoyo financiero para la aplicación de subsidios al consumo de servicios públicos domiciliarios en acueducto, alcantarillado y aseo en el municipio de  Frontino </t>
  </si>
  <si>
    <t xml:space="preserve">Consolidación de negocios verdes mediante asistencia técnica especializada en el municipio de  Frontino </t>
  </si>
  <si>
    <t xml:space="preserve">Elaboración del Inventario Municipal de Flora y Fauna para la conservación de la biodiversidad y los servicios ecosistémicos del municipio de  Frontino </t>
  </si>
  <si>
    <t xml:space="preserve">Servicio de Establecimiento de especies vegetales nativas para la conservación de la biodiversidad y los servicios ecosistémicos en el municipio de  Frontino </t>
  </si>
  <si>
    <t xml:space="preserve">Protección y manejo de áreas estratégicas para la conservación del recurso hídrico en el municipio de  Frontino </t>
  </si>
  <si>
    <t xml:space="preserve">Fortalecimiento e la conciencia ambiental mediante la prestación del servicio de educación informal ambiental en el municipio de  Frontino </t>
  </si>
  <si>
    <t xml:space="preserve">Mejoramiento de las redes de alumbrado público urbano y rural  mediante la reinversión de la sobretasa de alumbrado público en el municipio de  Frontino </t>
  </si>
  <si>
    <t xml:space="preserve">Fortalecimiento de capacidades para el trabajo seguro, responsable y sostenible en actividades mineras del municipio de  Frontino </t>
  </si>
  <si>
    <t xml:space="preserve">Fortalecimiento para la regularización y formalización de la pequeña minería mediante asistencia técnica integral en el municipio de  Frontino </t>
  </si>
  <si>
    <t>Construcción de placas huella para el mejoramiento de la red vial terciaria del municipio de  Frontino</t>
  </si>
  <si>
    <t xml:space="preserve">Mantenimiento periódico y rutinario de puentes de la red vial terciaria del municipio de  Frontino </t>
  </si>
  <si>
    <t xml:space="preserve">Mantenimiento y mejoramiento de caminos ancestrales para fortalecer la conectividad rural y cultural del municipio de  Frontino </t>
  </si>
  <si>
    <t xml:space="preserve">Construcción de puentes y pontones en caminos ancestrales para fortalecer la conectividad rural del municipio de  Frontino </t>
  </si>
  <si>
    <t xml:space="preserve">Mantenimiento periódico y rutinario de la red vial terciaria del municipio de  Frontino </t>
  </si>
  <si>
    <t xml:space="preserve">Mejoramiento de la infraestructura vial urbana para fortalecer la movilidad y seguridad vial en el municipio de  Frontino </t>
  </si>
  <si>
    <t xml:space="preserve">Implementación de dispositivos de control y señalización vial para el fortalecimiento de la seguridad del transporte en el municipio de  Frontino </t>
  </si>
  <si>
    <t xml:space="preserve">Fortalecimiento de capacidades en turismo local mediante la prestación del servicio de educación informal en asuntos turísticos en el municipio de  Frontino </t>
  </si>
  <si>
    <t xml:space="preserve">Formulación de la asistencia técnica agropecuaria integral para la inclusión productiva de pequeños productores rurales del municipio de  Frontino </t>
  </si>
  <si>
    <t xml:space="preserve">Formulación del Plan de Desarrollo Agropecuario para la inclusión productiva de pequeños productores rurales del municipio de  Frontino </t>
  </si>
  <si>
    <t xml:space="preserve">Fortalecimiento de la comercialización directa de pequeños productores rurales mediante la realización de Mercados Campesinos en el municipio de  Frontino </t>
  </si>
  <si>
    <t xml:space="preserve">Formulación de la cartografía de zonificación y evaluación de tierras para el ordenamiento social y uso productivo del territorio rural del municipio de  Frontino </t>
  </si>
  <si>
    <t xml:space="preserve">Cofinanciación para la reactivación y continuidad de proyectos en encadenamientos productivos agropecuarios ante afectaciones climáticas, sanitarias, agentes biológicos o bajas productividades en el municipio de  Frontino </t>
  </si>
  <si>
    <t xml:space="preserve">Apoyo a la Promoción del ejercicio de la participación ciudadana para el fortalecimiento democrático y el respeto a los derechos humanos en el municipio de  Frontino </t>
  </si>
  <si>
    <t xml:space="preserve">Adecuación y mejoramiento de salones comunales para el fortalecimiento organizativo de las Juntas de Acción Comunal en el municipio de  Frontino </t>
  </si>
  <si>
    <t xml:space="preserve">Construcción y mejoramiento de obras de infraestructura para la reducción del riesgo de desastres en el municipio de  Frontino </t>
  </si>
  <si>
    <t xml:space="preserve">Prestación de servicios de apoyo para la atención inmediata de población afectada por emergencias y desastres en el municipio de  Frontino </t>
  </si>
  <si>
    <t xml:space="preserve">Adecuación y modernización de sedes administrativas para el fortalecimiento de la gestión pública y la atención ciudadana en el municipio de  Frontino </t>
  </si>
  <si>
    <t xml:space="preserve">Mantenimiento de sedes administrativas públicas para garantizar su operación institucional  en el municipio de  Frontino </t>
  </si>
  <si>
    <t xml:space="preserve">Prestación de servicios de asistencia profesional y técnica para fortalecer la gestión administrativa y operativa de la Alcaldía del Municipio de  Frontino </t>
  </si>
  <si>
    <t xml:space="preserve">Fortalecimiento del acceso efectivo a la justicia mediante el apoyo integral a la Casa de Justicia del Municipio de  Frontino </t>
  </si>
  <si>
    <t xml:space="preserve">Servicio de resocialización de personas privadas de la libertad mediante convenio interinstitucional con el INPEC del municipio de  Frontino </t>
  </si>
  <si>
    <t xml:space="preserve">Prestación del servicio de alimentación como componente del bienestar integral de las personas privadas de la libertad en el municipio de  Frontino </t>
  </si>
  <si>
    <t xml:space="preserve">Fortalecimiento de los procesos de educación para el trabajo, resocialización y desarrollo humano de adolescentes vinculados al CETRA del municipio de  Frontino </t>
  </si>
  <si>
    <t>Avance Financiero (Obligaciones - Orden de Pago) - 31 Mayo</t>
  </si>
  <si>
    <t>Avance Fisico 2026</t>
  </si>
  <si>
    <t>%Avance Fisico</t>
  </si>
  <si>
    <t>1.1. Salud Mía - Salud Protección Social para los Frontineños (19)</t>
  </si>
  <si>
    <t>1.1.1 Salud Pública y Protección Social (1905)</t>
  </si>
  <si>
    <t>Campañas de gestión del riesgo en temas de consumo de sustancias psicoactivas implementadas</t>
  </si>
  <si>
    <t>Encuentros educativos, foros, redes familiares creadas, centros de orientación y zonas de escucha, implementación de estrategia Salud para el Alma en prevención de consumo de SPA. Acciones de Atención Primaria en Salud (PTS)</t>
  </si>
  <si>
    <t>Campañas de gestión del riesgo en temas de salud sexual y reproductiva implementadas</t>
  </si>
  <si>
    <t>Encuentros educativos, foros, centros de orientación y zonas de escucha, semana andina de la prevención del embarazo en adolescentes, acompañar la implementación la estrategia servicios amigables para adolescentes. Acciones de Atención primaria en Salud (PTS)</t>
  </si>
  <si>
    <t>Campañas de gestión del riesgo en temas de trastornos mentales implementadas</t>
  </si>
  <si>
    <t>Operativización de la política municipal de Salud mental y prevención de Consumo de Sustancias Psicoactivas. Estrategia de salud mental “ConscienTÉmente”, programa radial “En la Cocina con Gaby”. Atención primaria en Salud (PTS)</t>
  </si>
  <si>
    <t>Campañas de gestión del riesgo para abordar situaciones de salud relacionadas con condiciones ambientales implementadas</t>
  </si>
  <si>
    <t>Acciones de Prevención de enfermedades generadas por sustancias químicas, por animales (zoonosis), vectores de contaminación en el aire y el agua, entre otros factores. Campaña de separación de residuos, uso consciente de la bolsa.</t>
  </si>
  <si>
    <t>Campañas de gestión del riesgo para abordar situaciones prevalentes de origen laboral implementadas</t>
  </si>
  <si>
    <t>Implementación de estrategias de educación en el entorno laboral formal e informal, bajo la estrategia de Atención Primaria en Salud.</t>
  </si>
  <si>
    <t>Campañas de gestión del riesgo para enfermedades emergentes, reemergentes y desatendidas implementadas</t>
  </si>
  <si>
    <t xml:space="preserve">Encuentros educativos, talleres, estrategia Información, Educación y Comunicación para la Salud-IEC, estrategia de Atención Primaria en Salud con acciones de prevención, control y eliminación de las enfermedades infecciosas, ETAS Enfermedades transmitidas por alimentos, infecciones asociadas a la atención de la salud IAAS, Tuberculosis, lepra o enfermedad de Hansen, infección respiratoria aguda, enfermedad diarreica aguda) </t>
  </si>
  <si>
    <t>Campañas de gestión del riesgo para enfermedades inmunoprevenibles  implementadas</t>
  </si>
  <si>
    <t xml:space="preserve">Vacunación sin barreras, monitoreo rápido de cobertura y búsqueda activa comunitaria. Atención Primaria en Salud (PTS) </t>
  </si>
  <si>
    <t>Campañas de gestión del riesgo para temas de consumo, aprovechamiento biológico, calidad e inocuidad de los alimentos implementadas</t>
  </si>
  <si>
    <t xml:space="preserve">Articulación sectorial, intersectorial y transectorial enfocados en la Seguridad Alimentaria y Nutricional por medio de la estrategia “Mercados Campesinos” implementación de la política pública de Seguridad Alimentaria y nutricional. </t>
  </si>
  <si>
    <t>Campañas de promoción de la salud  y prevención de riesgos asociados a condiciones no transmisibles implementadas</t>
  </si>
  <si>
    <t>Carnaval de la salud por corregimientos, Jornadas de Salud, fortalecimiento de la política pública Vejez y Envejecimiento Saludable, creación y fortalecimiento de los Clubes de la salud. Atención Primaria en Salud (PTS)</t>
  </si>
  <si>
    <t>Valoraciones multidisciplinarias realizadas</t>
  </si>
  <si>
    <t xml:space="preserve">Registro de Localización y Caracterización de las Personas Con Discapacidad y generación de certificado de discapacidad. </t>
  </si>
  <si>
    <t>Estrategias de promoción de la participación social en salud implementadas</t>
  </si>
  <si>
    <t>Fortalecimiento de los espacios de Participación Social en Salud. Implementación de la Política Pública de Participación Social en salud con sus 5 ejes principales. Fortalecimiento e implementación de las Políticas Públicas adoptadas por la entidad Territorial y la operativización de los comités.</t>
  </si>
  <si>
    <t>Estrategias de promoción de la salud implementadas</t>
  </si>
  <si>
    <t>Programas radiales, estrategias publicitarias, jornadas de salud, tamizajes,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acciones de Atención Primaria en Salud</t>
  </si>
  <si>
    <t>Planes de salud pública elaborados</t>
  </si>
  <si>
    <t>Plan Territorial de Salud, armonizado al Plan Decenal de Salud Pública.Planes de Acción en Salud (PAS) y Componentes Operativos Anuales, construidos y actualizados. Documento del Análisis de la Situación de Salud del Municipio de Frontino (ASIS) actualizado.</t>
  </si>
  <si>
    <t>Entidades territoriales con servicio de suministro de insumos para el manejo de eventos de interés en salud pública</t>
  </si>
  <si>
    <t>Servicio de suministro de insumos para el manejo de eventos de interés en salud pública, garantizando la adquisición, distribución y suministro oportuno de los insumos de interés en salud pública, dentro de los cuales se incluyen los biológicos, insumos críticos para el control de vectores, los medicamentos para el manejo de los esquemas básicos de las enfermedades transmisibles y de control especial.</t>
  </si>
  <si>
    <t>Estrategias de gestión territorial para atención en salud -pandemias- a población afectada por emergencias o desastres implementadas</t>
  </si>
  <si>
    <t>Servicios de gestión territorial para atención en salud -pandemias- a población afectada por emergencias o desastres. (Incluye acciones intersectoriales de salud pública, implementación de los planes de preparación y respuesta ante este riesgo)</t>
  </si>
  <si>
    <t>Sistemas de información implementados</t>
  </si>
  <si>
    <t>Sistemas de información en salud y en Vigilancia en Salud Pública, que aseguren la disposición de la información de manera accesible, confiable y oportuna.</t>
  </si>
  <si>
    <t>1.1.2 Aseguramiento y prestación integral de servicios humanizados de salud (1906)</t>
  </si>
  <si>
    <t>Personas afiliadas al régimen subsidiado</t>
  </si>
  <si>
    <t xml:space="preserve">Acciones de afiliación de la población al régimen subsidiado conforme a las condiciones del Sistema General de Seguridad Social; registro, reporte, sistematización y seguimiento de afiliados en los sistemas de información correspondientes y en el manejo de los recursos. </t>
  </si>
  <si>
    <t>Implementación del servicio de gestión del riesgo para prevención del consumo de sustancias psicoactivas con estrategias comunitarias y APS en el municipio de  Frontino</t>
  </si>
  <si>
    <t>Implementación del servicio de gestión del riesgo en salud sexual y reproductiva con enfoque de derechos y APS en el Municipio de  Frontino
E4 Atención Primaria Salud    - L43  Cuidado de la Salud - Cuidado de la salud Poblacion Materna - Perinatal</t>
  </si>
  <si>
    <t>Implementación del servicio de gestión del riesgo en trastornos mentales mediante estrategias comunitarias y APS en el Municipio de  Frontino
E4 Atencion Primaria Salud -  L3 Cuidado de la Salud - Cuidado de la salud - Adolescencia</t>
  </si>
  <si>
    <t xml:space="preserve">Implementación del servicio de gestión del riesgo para prevención de enfermedades asociadas a condiciones ambientales con enfoque APS en el municipio de  Frontino
E4 Atencion Primaria Salud -  L3 Cuidado de la Salud -  Cuidado de la Salud Juventud </t>
  </si>
  <si>
    <t>Implementación del servicio de gestión del riesgo por exposición laboral con estrategias de educación y prevención en salud para trabajadores en el municipio de  Frontino
E7  Persnal Salud  -  L3 Cuidado de la Salud  -  Cuidado de la salud en el entorno laboral</t>
  </si>
  <si>
    <t>Implementación del servicio de gestión del riesgo para enfermedades emergentes, reemergentes y desatendidas con enfoque APS en el municipio de  Frontino
E4  Atencion Primaria en Saluid  - L3  Cuidadod e la Salud  -  Cuidado de la salud - Primera infancia</t>
  </si>
  <si>
    <t xml:space="preserve">Implementación del servicio de gestión del riesgo para enfermedades inmunoprevenibles mediante fortalecimiento del PAI y APS territorial en el municipio de  Frontino
E4 Atención Primaria Salud  - L 3  Cuidado de la Salud -  Cuidado de la Salud - Infancia </t>
  </si>
  <si>
    <t>Implementación del servicio de gestión del riesgo nutricional y alimentario con enfoque APS, inocuidad y Seguridad Alimentaria en el municipio de  Frontino
E4 Atencion Primaria Salud -  L3 Cuidado de la Salud -   Cuidado de la Salud - Adultez</t>
  </si>
  <si>
    <t>Servicio de promoción de la salud para prevención de enfermedades no transmisibles y envejecimiento saludable mediante APS en el Municipio de  Frontino
E4 Atencion Primaria Salud -  L3 Cuidado de la Salud -   Cuidado de la Salud -  Persona Mayor</t>
  </si>
  <si>
    <t xml:space="preserve">Servicio de certificación, registro y caracterización de discapacidad con enfoque diferencial en el Municipio de  Frontino
E2 Pueblos y comunidades  -   L3 Cuidado de la Salud -   Garantía del derecho a la salud de pueblos y comunidades étnicas y campesinas, mujeres, sectores LGBTIQ+ y otras poblaciones por condición y/o situación. </t>
  </si>
  <si>
    <t>Fortalecimiento de la participación social en salud y gobernanza comunitaria en el Municipio de  Frontino
E2  Pueblos y Comunidades  -  L 2   Acuerdos Sociales y Comunitarios  - Participación social de pueblos y comunidades étnicas y campesinas, mujeres, sectores LGBTIQ+ y otras poblaciones por condición y/o situación. 
E2  Pueblos y Comunidades - L2  Acuerdos Sociales y Comunitarios  -   Coord intersectorial transversalización enfoques de pueblos comunidades género diferencial e integración sistemas de conocimiento propio pueblos comunidades étnicas campesinas.
E3  Determinantes -  L2  Acuerdos Sociales y Comunitarios   -   Coordinación intersectorial para la afectación positiva de los determinantes sociales de la salud.
E 4  Atencion Primaria en Salud -  L2  Acuerdos Sociales y Comunitarios  -  Coordinación intersectorial para el cuidado de la salud en los territorios en el marco de la Atención Primaria en Salud. 
E4  Atencion Primaria en Salud  -  L2  Acuerdos Sociales y Comunitarios  -  Participación social como base de la Atención Primaria en Salud-APS
E5  Cambio Climatico -  L2 Acuerdos Sociales y Comunitarios  - Coord intersectorial establecimiento acciones adaptación mitigación variabilidad cambio climático y efectos en salud y gestión prevención atención emergencias desastres pandemias
E5  Cambio Climatico -  L2 Acuerdos Solciales y Comunitarios -   Participación social incidencia acciones adaptación mitigación la variabilidad cambio climático y efectos en salud gestión prevención atención emergencias desastres pandemias
E6 Conocimiento Salud  - L Acuerdos Sociales y Comunitarios  -  Participación social para la incidencia en la gestión del conocimiento en Salud Pública y la Soberanía Sanitaria</t>
  </si>
  <si>
    <t>Servicio de promoción de la salud y fortalecimiento de capacidades comunitarias para el bienestar integral en el Municipio de  Frontino
E3  Determinantes -  L3   Cuidado de la Salud  -Información en salud para la afectación positiva de los determinantes sociales de la salud en el territorio.
E6   Conocimiento Salud - L3 Cuidado de la Salud  -  Acciones estratégicas de información en salud
E1 Gobernabilidad y Gobernanza  -  L1  Desarrollo Institucional y Setorial -  Desarrollo de Capacidades para la Gobernanza en Salud Publica</t>
  </si>
  <si>
    <t xml:space="preserve">Formulación y adopción de Modelos en Planeación integral en Salud y Desarrollo Institucional con Planes de acción en Salud en el Municipio de  Frontino
E1 Gobernabilidad y Gobernanza  -  L1  Desarrollo Institucional y Setorial -  Planeacion Integral en Salud </t>
  </si>
  <si>
    <t xml:space="preserve">Fortalecimiento del servicio de suministro de insumos para eventos de interés en Salud Pública en el Municipio de  Frontino
E1 Gobernabilidad y Gobernanza  -  L1  Desarrollo Institucional y Setorial -  Gestion de Insumos de Interes en Salud Publica </t>
  </si>
  <si>
    <t xml:space="preserve">Servicio de gestión territorial para respuesta en salud publica ante emergencias, desastres y pandemias en el Municipio de  Frontino
E5  Cambio Climatico  -  L3  Cuidado de la Salud -  Respuesta en salud pública ante los efectos en la salud generados por la variabilidad y el cambio climático y la ocurrencia de emergencias, desastres y pandemias. </t>
  </si>
  <si>
    <t>Implementación y fortalecimiento del Sistema de Información en Salud Pública para gestión del conocimiento y toma de decisiones en el Municipio de  Frontino
E1  Gobernabiliad  y Bobernanza  - L1 Desxarrollo  Institucional y Sectorial - Vigilancia en Salud Pública y fortalecimiento de los laboratorios en salud pública
E4  Atencion Primaria en Salud  -  L3  Cuidado de la Salud  -   Cuidado de la Salud - familias, colectivos y comunidades
E5  Cambio Climatico  -  L3  Cuidado de la Salud  -  Respuesta en salud pública ante los efectos en la salud generados por la variabilidad y el cambio climático y la ocurrencia de emergencias, desastres y pandemias. 
E6  Conocimiento Salud -  L1  Desarrollo Institucional y Sectorial  - Gestión del conocimiento para la toma de decisiones en Salud Pública y la Soberanía Sanitaria</t>
  </si>
  <si>
    <t>RS - E4 Atención Primaria Salud - L3 Cuidado de la Salud - Transferencias Afiliación  -  SGP  Regimen subsidiado
RS - E4 Atención Primaria Salud - L3 Cuidado de la Salud - Transferencias Afiliación  -  ADRES 
RS - E4 Atención Primaria Salud - L3 Cuidado de la Salud - Transferencias Afiliación - Coljuegos  75%
RS - E4 Atención Primaria Salud - L3 Cuidado de la Salud - Transferencias Afiliación   -  Rentas del Departamento
RS - E1 Gobernabilidad y Gobernanza - L1 Desarrollo Institucional y Sectorial - Supersalud
PS - E4 Atención Primaria Salud - L3 Cuidado de la Salud - ESE Bajo Nivel Complejidad</t>
  </si>
  <si>
    <t xml:space="preserve">Implementación del servicio de gestión del riesgo para prevención del consumo de sustancias psicoactivas con estrategias comunitarias y APS en el municipio de  Frontino </t>
  </si>
  <si>
    <t xml:space="preserve">Implementación del servicio de gestión del riesgo en salud sexual y reproductiva con enfoque de derechos y APS en el Municipio de  Frontino </t>
  </si>
  <si>
    <t xml:space="preserve">Implementación del servicio de gestión del riesgo en trastornos mentales mediante estrategias comunitarias y APS en el Municipio de  Frontino </t>
  </si>
  <si>
    <t xml:space="preserve">Implementación del servicio de gestión del riesgo para prevención de enfermedades asociadas a condiciones ambientales con enfoque APS en el municipio de  Frontino </t>
  </si>
  <si>
    <t xml:space="preserve">Implementación del servicio de gestión del riesgo por exposición laboral con estrategias de educación y prevención en salud para trabajadores en el municipio de  Frontino </t>
  </si>
  <si>
    <t xml:space="preserve">Implementación del servicio de gestión del riesgo para enfermedades emergentes, reemergentes y desatendidas con enfoque APS en el municipio de  Frontino </t>
  </si>
  <si>
    <t xml:space="preserve">Implementación del servicio de gestión del riesgo para enfermedades inmunoprevenibles mediante fortalecimiento del PAI y APS territorial en el municipio de  Frontino </t>
  </si>
  <si>
    <t xml:space="preserve">Implementación del servicio de gestión del riesgo nutricional y alimentario con enfoque APS, inocuidad y Seguridad Alimentaria en el municipio de  Frontino </t>
  </si>
  <si>
    <t xml:space="preserve">Servicio de promoción de la salud para prevención de enfermedades no transmisibles y envejecimiento saludable mediante APS en el Municipio de  Frontino </t>
  </si>
  <si>
    <t xml:space="preserve">Servicio de certificación, registro y caracterización de discapacidad con enfoque diferencial en el Municipio de  Frontino </t>
  </si>
  <si>
    <t xml:space="preserve">Fortalecimiento de la participación social en salud y gobernanza comunitaria en el Municipio de  Frontino </t>
  </si>
  <si>
    <t xml:space="preserve">Servicio de promoción de la salud y fortalecimiento de capacidades comunitarias para el bienestar integral en el Municipio de  Frontino </t>
  </si>
  <si>
    <t xml:space="preserve">Formulación y adopción de Modelos en Planeación integral en Salud y Desarrollo Institucional con Planes de acción en Salud en el Municipio de  Frontino </t>
  </si>
  <si>
    <t xml:space="preserve">Fortalecimiento del servicio de suministro de insumos para eventos de interés en Salud Pública en el Municipio de  Frontino </t>
  </si>
  <si>
    <t xml:space="preserve">Servicio de gestión territorial para respuesta en salud publica ante emergencias, desastres y pandemias en el Municipio de  Frontino </t>
  </si>
  <si>
    <t xml:space="preserve">Implementación y fortalecimiento del Sistema de Información en Salud Pública para gestión del conocimiento y toma de decisiones en el Municipio de  Frontino </t>
  </si>
  <si>
    <t xml:space="preserve">Servicio de atención integral en salud y respuesta a urgencias para población afiliada y migrante no asegurada en el Municipio de  Frontino </t>
  </si>
  <si>
    <t>% Avance Financiero</t>
  </si>
  <si>
    <t>PLAN OPERATIVO ANUAL DE INVERSIONES (POAI) - PLAN DE ACCION (PA) 2026  - ACTUALIZACIÓN MAYO 31 DE 2026 - SEGUIMIENTO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</si>
</sst>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7" x14ac:knownFonts="1">
    <font>
      <sz val="11"/>
      <name val="Calibri"/>
      <family val="2"/>
    </font>
    <font>
      <sz val="11"/>
      <name val="Calibri"/>
      <family val="2"/>
    </font>
    <font>
      <b/>
      <sz val="18"/>
      <name val="Calibri"/>
      <family val="2"/>
    </font>
    <font>
      <b/>
      <sz val="11"/>
      <color theme="1"/>
      <name val="Calibri"/>
      <family val="2"/>
    </font>
    <font>
      <b/>
      <sz val="11"/>
      <name val="Calibri"/>
      <family val="2"/>
    </font>
    <font>
      <sz val="11"/>
      <color theme="1"/>
      <name val="Calibri"/>
      <family val="2"/>
    </font>
    <font>
      <sz val="8"/>
      <name val="Calibri"/>
      <family val="2"/>
    </font>
  </fonts>
  <fills count="6">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1" fillId="0" borderId="0"/>
    <xf numFmtId="9" fontId="1" fillId="0" borderId="0" applyFont="0" applyFill="0" applyBorder="0" applyAlignment="0" applyProtection="0"/>
  </cellStyleXfs>
  <cellXfs count="31">
    <xf numFmtId="0" fontId="0" fillId="0" borderId="0" xfId="0"/>
    <xf numFmtId="0" fontId="4" fillId="0" borderId="0" xfId="0" applyFont="1" applyAlignment="1">
      <alignment vertical="center" wrapText="1"/>
    </xf>
    <xf numFmtId="1" fontId="0" fillId="0" borderId="0" xfId="0" applyNumberFormat="1"/>
    <xf numFmtId="164" fontId="0" fillId="0" borderId="0" xfId="1" applyNumberFormat="1" applyFont="1" applyFill="1" applyAlignment="1">
      <alignment horizontal="center"/>
    </xf>
    <xf numFmtId="1" fontId="0" fillId="0" borderId="0" xfId="0" applyNumberFormat="1" applyAlignment="1">
      <alignment wrapText="1"/>
    </xf>
    <xf numFmtId="0" fontId="0" fillId="0" borderId="0" xfId="0" applyAlignment="1">
      <alignment horizontal="center"/>
    </xf>
    <xf numFmtId="0" fontId="0" fillId="0" borderId="0" xfId="0" applyAlignment="1">
      <alignment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1" fontId="0" fillId="0" borderId="0" xfId="0" applyNumberFormat="1" applyAlignment="1">
      <alignment horizontal="center" vertical="center" wrapText="1"/>
    </xf>
    <xf numFmtId="1" fontId="0" fillId="0" borderId="0" xfId="0" applyNumberFormat="1" applyAlignment="1">
      <alignment horizontal="left" vertical="center" wrapText="1"/>
    </xf>
    <xf numFmtId="0" fontId="5" fillId="0" borderId="0" xfId="0" applyFont="1" applyAlignment="1">
      <alignment vertical="center" wrapText="1"/>
    </xf>
    <xf numFmtId="0" fontId="5" fillId="0" borderId="0" xfId="0" applyFont="1" applyAlignment="1">
      <alignment horizontal="center" vertical="center" wrapText="1"/>
    </xf>
    <xf numFmtId="9" fontId="5" fillId="0" borderId="0" xfId="3" applyFont="1" applyAlignment="1" applyProtection="1">
      <alignment horizontal="center" vertical="center" wrapText="1"/>
    </xf>
    <xf numFmtId="1" fontId="5" fillId="0" borderId="0" xfId="0" applyNumberFormat="1" applyFont="1" applyAlignment="1">
      <alignment vertical="center" wrapText="1"/>
    </xf>
    <xf numFmtId="164" fontId="0" fillId="0" borderId="0" xfId="1" applyNumberFormat="1" applyFont="1" applyFill="1" applyAlignment="1" applyProtection="1">
      <alignment vertical="center" wrapText="1"/>
    </xf>
    <xf numFmtId="164" fontId="0" fillId="0" borderId="0" xfId="0" applyNumberFormat="1" applyAlignment="1">
      <alignment vertical="center" wrapText="1"/>
    </xf>
    <xf numFmtId="0" fontId="2" fillId="2" borderId="0" xfId="0" applyFont="1" applyFill="1" applyAlignment="1" applyProtection="1">
      <alignment horizontal="center" vertical="center" wrapText="1"/>
      <protection locked="0"/>
    </xf>
    <xf numFmtId="164" fontId="0" fillId="2" borderId="0" xfId="0" applyNumberFormat="1" applyFill="1" applyAlignment="1">
      <alignment vertical="center" wrapText="1"/>
    </xf>
    <xf numFmtId="164" fontId="0" fillId="3" borderId="0" xfId="0" applyNumberFormat="1" applyFill="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pplyProtection="1">
      <alignment horizontal="center" vertical="center" wrapText="1"/>
      <protection locked="0"/>
    </xf>
    <xf numFmtId="1" fontId="3" fillId="4" borderId="1" xfId="0" applyNumberFormat="1" applyFont="1" applyFill="1" applyBorder="1" applyAlignment="1">
      <alignment horizontal="center" vertical="center" wrapText="1"/>
    </xf>
    <xf numFmtId="1" fontId="4" fillId="4" borderId="1" xfId="1" applyNumberFormat="1" applyFont="1" applyFill="1" applyBorder="1" applyAlignment="1" applyProtection="1">
      <alignment horizontal="center" vertical="center" wrapText="1"/>
    </xf>
    <xf numFmtId="0" fontId="5" fillId="3" borderId="0" xfId="0" applyFont="1" applyFill="1" applyAlignment="1" applyProtection="1">
      <alignment horizontal="center" vertical="center" wrapText="1"/>
      <protection locked="0"/>
    </xf>
    <xf numFmtId="164" fontId="0" fillId="5" borderId="0" xfId="0" applyNumberFormat="1" applyFill="1" applyAlignment="1">
      <alignment vertical="center" wrapText="1"/>
    </xf>
  </cellXfs>
  <cellStyles count="4">
    <cellStyle name="Moneda" xfId="1" builtinId="4"/>
    <cellStyle name="Normal" xfId="0" builtinId="0"/>
    <cellStyle name="Normal 2" xfId="2" xr:uid="{6B87ED85-F7CE-4F27-8637-EC2197DF20D6}"/>
    <cellStyle name="Porcentaje" xfId="3" builtinId="5"/>
  </cellStyles>
  <dxfs count="1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2EBA-140E-41B7-9EBD-C6F7A6B38C5F}">
  <dimension ref="A1:AI91"/>
  <sheetViews>
    <sheetView tabSelected="1" zoomScale="70" zoomScaleNormal="70" workbookViewId="0">
      <selection activeCell="D5" sqref="D5"/>
    </sheetView>
  </sheetViews>
  <sheetFormatPr baseColWidth="10" defaultColWidth="8.7109375" defaultRowHeight="15" x14ac:dyDescent="0.25"/>
  <cols>
    <col min="2" max="2" width="38.5703125" customWidth="1"/>
    <col min="3" max="3" width="12.7109375" style="5" customWidth="1"/>
    <col min="4" max="4" width="39.28515625" customWidth="1"/>
    <col min="5" max="5" width="30.28515625" customWidth="1"/>
    <col min="6" max="6" width="22.28515625" style="5" customWidth="1"/>
    <col min="7" max="7" width="45.28515625" style="5" customWidth="1"/>
    <col min="8" max="8" width="69.28515625" style="6" customWidth="1"/>
    <col min="9" max="12" width="13.42578125" customWidth="1"/>
    <col min="13" max="14" width="21.5703125" style="2" customWidth="1"/>
    <col min="15" max="15" width="36.28515625" style="4" customWidth="1"/>
    <col min="16" max="16" width="63.28515625" customWidth="1"/>
    <col min="17" max="20" width="22.42578125" style="3" customWidth="1"/>
    <col min="21" max="30" width="22.42578125" customWidth="1"/>
    <col min="31" max="34" width="25.5703125" customWidth="1"/>
    <col min="35" max="35" width="21.28515625" customWidth="1"/>
  </cols>
  <sheetData>
    <row r="1" spans="1:35" s="7" customFormat="1" ht="43.9" customHeight="1" x14ac:dyDescent="0.25">
      <c r="A1" s="18" t="s">
        <v>481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row>
    <row r="2" spans="1:35" s="1" customFormat="1" ht="45" x14ac:dyDescent="0.25">
      <c r="A2" s="21" t="s">
        <v>66</v>
      </c>
      <c r="B2" s="21" t="s">
        <v>71</v>
      </c>
      <c r="C2" s="22" t="s">
        <v>65</v>
      </c>
      <c r="D2" s="21" t="s">
        <v>64</v>
      </c>
      <c r="E2" s="21" t="s">
        <v>228</v>
      </c>
      <c r="F2" s="23" t="s">
        <v>0</v>
      </c>
      <c r="G2" s="23" t="s">
        <v>126</v>
      </c>
      <c r="H2" s="24" t="s">
        <v>161</v>
      </c>
      <c r="I2" s="25" t="s">
        <v>1</v>
      </c>
      <c r="J2" s="25" t="s">
        <v>311</v>
      </c>
      <c r="K2" s="26" t="s">
        <v>407</v>
      </c>
      <c r="L2" s="25" t="s">
        <v>408</v>
      </c>
      <c r="M2" s="27" t="s">
        <v>2</v>
      </c>
      <c r="N2" s="27" t="s">
        <v>338</v>
      </c>
      <c r="O2" s="27" t="s">
        <v>104</v>
      </c>
      <c r="P2" s="21" t="s">
        <v>103</v>
      </c>
      <c r="Q2" s="28" t="s">
        <v>112</v>
      </c>
      <c r="R2" s="28" t="s">
        <v>113</v>
      </c>
      <c r="S2" s="28" t="s">
        <v>114</v>
      </c>
      <c r="T2" s="28" t="s">
        <v>115</v>
      </c>
      <c r="U2" s="21" t="s">
        <v>116</v>
      </c>
      <c r="V2" s="21" t="s">
        <v>117</v>
      </c>
      <c r="W2" s="21" t="s">
        <v>118</v>
      </c>
      <c r="X2" s="21" t="s">
        <v>119</v>
      </c>
      <c r="Y2" s="21" t="s">
        <v>120</v>
      </c>
      <c r="Z2" s="21" t="s">
        <v>121</v>
      </c>
      <c r="AA2" s="21" t="s">
        <v>122</v>
      </c>
      <c r="AB2" s="21" t="s">
        <v>123</v>
      </c>
      <c r="AC2" s="21" t="s">
        <v>124</v>
      </c>
      <c r="AD2" s="21" t="s">
        <v>125</v>
      </c>
      <c r="AE2" s="21" t="s">
        <v>335</v>
      </c>
      <c r="AF2" s="21" t="s">
        <v>337</v>
      </c>
      <c r="AG2" s="21" t="s">
        <v>406</v>
      </c>
      <c r="AH2" s="21" t="s">
        <v>336</v>
      </c>
      <c r="AI2" s="25" t="s">
        <v>480</v>
      </c>
    </row>
    <row r="3" spans="1:35" s="8" customFormat="1" ht="120" x14ac:dyDescent="0.25">
      <c r="A3" s="8" t="s">
        <v>67</v>
      </c>
      <c r="B3" s="8" t="s">
        <v>3</v>
      </c>
      <c r="C3" s="9">
        <v>2201</v>
      </c>
      <c r="D3" s="8" t="s">
        <v>4</v>
      </c>
      <c r="E3" s="9" t="s">
        <v>229</v>
      </c>
      <c r="F3" s="10">
        <v>220102801</v>
      </c>
      <c r="G3" s="11" t="s">
        <v>127</v>
      </c>
      <c r="H3" s="12" t="s">
        <v>5</v>
      </c>
      <c r="I3" s="13">
        <v>14000</v>
      </c>
      <c r="J3" s="13">
        <v>3500</v>
      </c>
      <c r="K3" s="29">
        <v>0</v>
      </c>
      <c r="L3" s="14">
        <f>+(K3/J3)</f>
        <v>0</v>
      </c>
      <c r="M3" s="15">
        <v>202500000047555</v>
      </c>
      <c r="N3" s="15" t="s">
        <v>339</v>
      </c>
      <c r="O3" s="15" t="s">
        <v>106</v>
      </c>
      <c r="P3" s="8" t="s">
        <v>207</v>
      </c>
      <c r="Q3" s="16">
        <v>2263376434</v>
      </c>
      <c r="R3" s="16">
        <v>572430402.19000006</v>
      </c>
      <c r="S3" s="16">
        <v>0</v>
      </c>
      <c r="T3" s="16">
        <v>0</v>
      </c>
      <c r="U3" s="16">
        <v>0</v>
      </c>
      <c r="V3" s="16">
        <v>0</v>
      </c>
      <c r="W3" s="16">
        <v>0</v>
      </c>
      <c r="X3" s="16">
        <v>0</v>
      </c>
      <c r="Y3" s="16">
        <v>0</v>
      </c>
      <c r="Z3" s="16">
        <v>0</v>
      </c>
      <c r="AA3" s="16">
        <v>35824826</v>
      </c>
      <c r="AB3" s="16">
        <v>0</v>
      </c>
      <c r="AC3" s="16">
        <v>0</v>
      </c>
      <c r="AD3" s="16">
        <v>0</v>
      </c>
      <c r="AE3" s="17">
        <f t="shared" ref="AE3:AE15" si="0">SUM(Q3:AD3)</f>
        <v>2871631662.1900001</v>
      </c>
      <c r="AF3" s="20">
        <v>2468782427</v>
      </c>
      <c r="AG3" s="30">
        <v>17571432</v>
      </c>
      <c r="AH3" s="19">
        <v>17571432</v>
      </c>
      <c r="AI3" s="14">
        <f>+AH3/AE3</f>
        <v>6.1189713957254021E-3</v>
      </c>
    </row>
    <row r="4" spans="1:35" s="8" customFormat="1" ht="165" x14ac:dyDescent="0.25">
      <c r="A4" s="8" t="s">
        <v>67</v>
      </c>
      <c r="B4" s="8" t="s">
        <v>3</v>
      </c>
      <c r="C4" s="9">
        <v>2201</v>
      </c>
      <c r="D4" s="8" t="s">
        <v>4</v>
      </c>
      <c r="E4" s="9" t="s">
        <v>230</v>
      </c>
      <c r="F4" s="10">
        <v>220102900</v>
      </c>
      <c r="G4" s="11" t="s">
        <v>128</v>
      </c>
      <c r="H4" s="12" t="s">
        <v>6</v>
      </c>
      <c r="I4" s="13">
        <v>1200</v>
      </c>
      <c r="J4" s="13">
        <v>300</v>
      </c>
      <c r="K4" s="29">
        <v>0</v>
      </c>
      <c r="L4" s="14">
        <f t="shared" ref="L4:L67" si="1">+(K4/J4)</f>
        <v>0</v>
      </c>
      <c r="M4" s="15">
        <v>202500000047571</v>
      </c>
      <c r="N4" s="15" t="s">
        <v>340</v>
      </c>
      <c r="O4" s="15" t="s">
        <v>106</v>
      </c>
      <c r="P4" s="8" t="s">
        <v>208</v>
      </c>
      <c r="Q4" s="16">
        <v>290804147.39999998</v>
      </c>
      <c r="R4" s="16">
        <v>0</v>
      </c>
      <c r="S4" s="16">
        <v>0</v>
      </c>
      <c r="T4" s="16">
        <v>0</v>
      </c>
      <c r="U4" s="16">
        <v>0</v>
      </c>
      <c r="V4" s="16">
        <v>453582048</v>
      </c>
      <c r="W4" s="16">
        <v>131561894</v>
      </c>
      <c r="X4" s="16">
        <v>0</v>
      </c>
      <c r="Y4" s="16">
        <v>0</v>
      </c>
      <c r="Z4" s="16">
        <v>0</v>
      </c>
      <c r="AA4" s="16">
        <v>0</v>
      </c>
      <c r="AB4" s="16">
        <v>0</v>
      </c>
      <c r="AC4" s="16">
        <v>0</v>
      </c>
      <c r="AD4" s="16">
        <v>0</v>
      </c>
      <c r="AE4" s="17">
        <f t="shared" si="0"/>
        <v>875948089.39999998</v>
      </c>
      <c r="AF4" s="20">
        <v>526099194</v>
      </c>
      <c r="AG4" s="30">
        <v>179863467</v>
      </c>
      <c r="AH4" s="19">
        <v>179863467</v>
      </c>
      <c r="AI4" s="14">
        <f t="shared" ref="AI4:AI67" si="2">+AH4/AE4</f>
        <v>0.2053357603910084</v>
      </c>
    </row>
    <row r="5" spans="1:35" s="8" customFormat="1" ht="120" x14ac:dyDescent="0.25">
      <c r="A5" s="8" t="s">
        <v>67</v>
      </c>
      <c r="B5" s="8" t="s">
        <v>3</v>
      </c>
      <c r="C5" s="9">
        <v>2201</v>
      </c>
      <c r="D5" s="8" t="s">
        <v>4</v>
      </c>
      <c r="E5" s="9" t="s">
        <v>231</v>
      </c>
      <c r="F5" s="10">
        <v>220105200</v>
      </c>
      <c r="G5" s="11" t="s">
        <v>129</v>
      </c>
      <c r="H5" s="12" t="s">
        <v>7</v>
      </c>
      <c r="I5" s="13">
        <v>30</v>
      </c>
      <c r="J5" s="13">
        <v>10</v>
      </c>
      <c r="K5" s="29">
        <v>0</v>
      </c>
      <c r="L5" s="14">
        <f t="shared" si="1"/>
        <v>0</v>
      </c>
      <c r="M5" s="15">
        <v>202500000047538</v>
      </c>
      <c r="N5" s="15" t="s">
        <v>341</v>
      </c>
      <c r="O5" s="15" t="s">
        <v>106</v>
      </c>
      <c r="P5" s="8" t="s">
        <v>209</v>
      </c>
      <c r="Q5" s="16">
        <v>371927618.87</v>
      </c>
      <c r="R5" s="16">
        <v>0</v>
      </c>
      <c r="S5" s="16">
        <v>0</v>
      </c>
      <c r="T5" s="16">
        <v>0</v>
      </c>
      <c r="U5" s="16">
        <v>0</v>
      </c>
      <c r="V5" s="16">
        <v>113095100</v>
      </c>
      <c r="W5" s="16">
        <v>157871036</v>
      </c>
      <c r="X5" s="16">
        <v>0</v>
      </c>
      <c r="Y5" s="16">
        <v>0</v>
      </c>
      <c r="Z5" s="16">
        <v>0</v>
      </c>
      <c r="AA5" s="16">
        <v>3107026307</v>
      </c>
      <c r="AB5" s="16">
        <v>0</v>
      </c>
      <c r="AC5" s="16">
        <v>0</v>
      </c>
      <c r="AD5" s="16">
        <v>0</v>
      </c>
      <c r="AE5" s="17">
        <f>SUM(Q5:AD5)</f>
        <v>3749920061.8699999</v>
      </c>
      <c r="AF5" s="20">
        <v>122894546</v>
      </c>
      <c r="AG5" s="30">
        <v>0</v>
      </c>
      <c r="AH5" s="19">
        <v>0</v>
      </c>
      <c r="AI5" s="14">
        <f t="shared" si="2"/>
        <v>0</v>
      </c>
    </row>
    <row r="6" spans="1:35" s="8" customFormat="1" ht="135" x14ac:dyDescent="0.25">
      <c r="A6" s="8" t="s">
        <v>67</v>
      </c>
      <c r="B6" s="8" t="s">
        <v>3</v>
      </c>
      <c r="C6" s="9">
        <v>2201</v>
      </c>
      <c r="D6" s="8" t="s">
        <v>4</v>
      </c>
      <c r="E6" s="9">
        <v>2201071</v>
      </c>
      <c r="F6" s="10">
        <v>220106200</v>
      </c>
      <c r="G6" s="11" t="s">
        <v>281</v>
      </c>
      <c r="H6" s="12" t="s">
        <v>8</v>
      </c>
      <c r="I6" s="13">
        <v>30</v>
      </c>
      <c r="J6" s="13">
        <v>12</v>
      </c>
      <c r="K6" s="29">
        <v>0</v>
      </c>
      <c r="L6" s="14">
        <f t="shared" si="1"/>
        <v>0</v>
      </c>
      <c r="M6" s="15">
        <v>202500000047541</v>
      </c>
      <c r="N6" s="15" t="s">
        <v>342</v>
      </c>
      <c r="O6" s="15" t="s">
        <v>106</v>
      </c>
      <c r="P6" s="8" t="s">
        <v>282</v>
      </c>
      <c r="Q6" s="16">
        <v>10000000</v>
      </c>
      <c r="R6" s="16">
        <v>0</v>
      </c>
      <c r="S6" s="16">
        <v>0</v>
      </c>
      <c r="T6" s="16">
        <v>0</v>
      </c>
      <c r="U6" s="16">
        <v>0</v>
      </c>
      <c r="V6" s="16">
        <v>716558122.88</v>
      </c>
      <c r="W6" s="16">
        <v>0</v>
      </c>
      <c r="X6" s="16">
        <v>0</v>
      </c>
      <c r="Y6" s="16">
        <v>0</v>
      </c>
      <c r="Z6" s="16">
        <v>0</v>
      </c>
      <c r="AA6" s="16">
        <v>0</v>
      </c>
      <c r="AB6" s="16">
        <v>0</v>
      </c>
      <c r="AC6" s="16">
        <v>0</v>
      </c>
      <c r="AD6" s="16">
        <v>0</v>
      </c>
      <c r="AE6" s="17">
        <f t="shared" si="0"/>
        <v>726558122.88</v>
      </c>
      <c r="AF6" s="20">
        <v>66895945</v>
      </c>
      <c r="AG6" s="30">
        <v>66895945</v>
      </c>
      <c r="AH6" s="19">
        <v>66895945</v>
      </c>
      <c r="AI6" s="14">
        <f t="shared" si="2"/>
        <v>9.2072392962632518E-2</v>
      </c>
    </row>
    <row r="7" spans="1:35" s="8" customFormat="1" ht="105" x14ac:dyDescent="0.25">
      <c r="A7" s="8" t="s">
        <v>67</v>
      </c>
      <c r="B7" s="8" t="s">
        <v>3</v>
      </c>
      <c r="C7" s="9">
        <v>2201</v>
      </c>
      <c r="D7" s="8" t="s">
        <v>4</v>
      </c>
      <c r="E7" s="9" t="s">
        <v>232</v>
      </c>
      <c r="F7" s="10">
        <v>220104902</v>
      </c>
      <c r="G7" s="11" t="s">
        <v>130</v>
      </c>
      <c r="H7" s="12" t="s">
        <v>9</v>
      </c>
      <c r="I7" s="13">
        <v>5</v>
      </c>
      <c r="J7" s="13">
        <v>2</v>
      </c>
      <c r="K7" s="29">
        <v>0</v>
      </c>
      <c r="L7" s="14">
        <f t="shared" si="1"/>
        <v>0</v>
      </c>
      <c r="M7" s="15">
        <v>202500000047582</v>
      </c>
      <c r="N7" s="15" t="s">
        <v>343</v>
      </c>
      <c r="O7" s="15" t="s">
        <v>106</v>
      </c>
      <c r="P7" s="8" t="s">
        <v>210</v>
      </c>
      <c r="Q7" s="16">
        <v>30000000</v>
      </c>
      <c r="R7" s="16">
        <v>0</v>
      </c>
      <c r="S7" s="16">
        <v>0</v>
      </c>
      <c r="T7" s="16">
        <v>0</v>
      </c>
      <c r="U7" s="16">
        <v>0</v>
      </c>
      <c r="V7" s="16">
        <v>0</v>
      </c>
      <c r="W7" s="16">
        <v>10000000</v>
      </c>
      <c r="X7" s="16">
        <v>0</v>
      </c>
      <c r="Y7" s="16">
        <v>0</v>
      </c>
      <c r="Z7" s="16">
        <v>0</v>
      </c>
      <c r="AA7" s="16">
        <v>0</v>
      </c>
      <c r="AB7" s="16">
        <v>0</v>
      </c>
      <c r="AC7" s="16">
        <v>0</v>
      </c>
      <c r="AD7" s="16">
        <v>0</v>
      </c>
      <c r="AE7" s="17">
        <f t="shared" si="0"/>
        <v>40000000</v>
      </c>
      <c r="AF7" s="20">
        <v>29687517</v>
      </c>
      <c r="AG7" s="30">
        <v>0</v>
      </c>
      <c r="AH7" s="19">
        <v>0</v>
      </c>
      <c r="AI7" s="14">
        <f t="shared" si="2"/>
        <v>0</v>
      </c>
    </row>
    <row r="8" spans="1:35" s="8" customFormat="1" ht="120" x14ac:dyDescent="0.25">
      <c r="A8" s="8" t="s">
        <v>67</v>
      </c>
      <c r="B8" s="8" t="s">
        <v>10</v>
      </c>
      <c r="C8" s="9">
        <v>3301</v>
      </c>
      <c r="D8" s="8" t="s">
        <v>11</v>
      </c>
      <c r="E8" s="9" t="s">
        <v>233</v>
      </c>
      <c r="F8" s="10">
        <v>330105100</v>
      </c>
      <c r="G8" s="11" t="s">
        <v>131</v>
      </c>
      <c r="H8" s="12" t="s">
        <v>12</v>
      </c>
      <c r="I8" s="13">
        <v>800</v>
      </c>
      <c r="J8" s="13">
        <v>200</v>
      </c>
      <c r="K8" s="29">
        <v>0</v>
      </c>
      <c r="L8" s="14">
        <f t="shared" si="1"/>
        <v>0</v>
      </c>
      <c r="M8" s="15">
        <v>202500000047838</v>
      </c>
      <c r="N8" s="15" t="s">
        <v>344</v>
      </c>
      <c r="O8" s="15" t="s">
        <v>106</v>
      </c>
      <c r="P8" s="8" t="s">
        <v>211</v>
      </c>
      <c r="Q8" s="16">
        <f>84619031+100000000</f>
        <v>184619031</v>
      </c>
      <c r="R8" s="16">
        <v>0</v>
      </c>
      <c r="S8" s="16">
        <v>0</v>
      </c>
      <c r="T8" s="16">
        <v>98139969</v>
      </c>
      <c r="U8" s="16">
        <v>0</v>
      </c>
      <c r="V8" s="16">
        <v>0</v>
      </c>
      <c r="W8" s="16">
        <v>50000000</v>
      </c>
      <c r="X8" s="16">
        <v>0</v>
      </c>
      <c r="Y8" s="16">
        <v>0</v>
      </c>
      <c r="Z8" s="16">
        <v>0</v>
      </c>
      <c r="AA8" s="16">
        <v>0</v>
      </c>
      <c r="AB8" s="16">
        <v>0</v>
      </c>
      <c r="AC8" s="16">
        <v>0</v>
      </c>
      <c r="AD8" s="16">
        <v>0</v>
      </c>
      <c r="AE8" s="17">
        <f t="shared" si="0"/>
        <v>332759000</v>
      </c>
      <c r="AF8" s="20">
        <v>185842000</v>
      </c>
      <c r="AG8" s="30">
        <v>67290000</v>
      </c>
      <c r="AH8" s="19">
        <v>67290000</v>
      </c>
      <c r="AI8" s="14">
        <f t="shared" si="2"/>
        <v>0.20221842234169474</v>
      </c>
    </row>
    <row r="9" spans="1:35" s="8" customFormat="1" ht="90" x14ac:dyDescent="0.25">
      <c r="A9" s="8" t="s">
        <v>67</v>
      </c>
      <c r="B9" s="8" t="s">
        <v>10</v>
      </c>
      <c r="C9" s="9">
        <v>3301</v>
      </c>
      <c r="D9" s="8" t="s">
        <v>11</v>
      </c>
      <c r="E9" s="9" t="s">
        <v>234</v>
      </c>
      <c r="F9" s="10">
        <v>330108500</v>
      </c>
      <c r="G9" s="11" t="s">
        <v>132</v>
      </c>
      <c r="H9" s="12" t="s">
        <v>13</v>
      </c>
      <c r="I9" s="13">
        <v>10000</v>
      </c>
      <c r="J9" s="13">
        <v>2500</v>
      </c>
      <c r="K9" s="29">
        <v>0</v>
      </c>
      <c r="L9" s="14">
        <f t="shared" si="1"/>
        <v>0</v>
      </c>
      <c r="M9" s="15">
        <v>202500000047842</v>
      </c>
      <c r="N9" s="15" t="s">
        <v>345</v>
      </c>
      <c r="O9" s="15" t="s">
        <v>106</v>
      </c>
      <c r="P9" s="8" t="s">
        <v>212</v>
      </c>
      <c r="Q9" s="16">
        <v>33206000</v>
      </c>
      <c r="R9" s="16">
        <v>0</v>
      </c>
      <c r="S9" s="16">
        <v>0</v>
      </c>
      <c r="T9" s="16">
        <v>0</v>
      </c>
      <c r="U9" s="16">
        <v>0</v>
      </c>
      <c r="V9" s="16">
        <v>0</v>
      </c>
      <c r="W9" s="16">
        <v>0</v>
      </c>
      <c r="X9" s="16">
        <v>0</v>
      </c>
      <c r="Y9" s="16">
        <v>0</v>
      </c>
      <c r="Z9" s="16">
        <v>0</v>
      </c>
      <c r="AA9" s="16">
        <v>0</v>
      </c>
      <c r="AB9" s="16">
        <v>0</v>
      </c>
      <c r="AC9" s="16">
        <v>0</v>
      </c>
      <c r="AD9" s="16">
        <v>0</v>
      </c>
      <c r="AE9" s="17">
        <f t="shared" si="0"/>
        <v>33206000</v>
      </c>
      <c r="AF9" s="20">
        <v>0</v>
      </c>
      <c r="AG9" s="30">
        <v>0</v>
      </c>
      <c r="AH9" s="19">
        <v>0</v>
      </c>
      <c r="AI9" s="14">
        <f t="shared" si="2"/>
        <v>0</v>
      </c>
    </row>
    <row r="10" spans="1:35" s="8" customFormat="1" ht="360" x14ac:dyDescent="0.25">
      <c r="A10" s="8" t="s">
        <v>67</v>
      </c>
      <c r="B10" s="8" t="s">
        <v>10</v>
      </c>
      <c r="C10" s="9">
        <v>3301</v>
      </c>
      <c r="D10" s="8" t="s">
        <v>11</v>
      </c>
      <c r="E10" s="9" t="s">
        <v>235</v>
      </c>
      <c r="F10" s="10">
        <v>330105300</v>
      </c>
      <c r="G10" s="11" t="s">
        <v>133</v>
      </c>
      <c r="H10" s="12" t="s">
        <v>14</v>
      </c>
      <c r="I10" s="13">
        <v>40</v>
      </c>
      <c r="J10" s="13">
        <v>21</v>
      </c>
      <c r="K10" s="29">
        <v>0</v>
      </c>
      <c r="L10" s="14">
        <f t="shared" si="1"/>
        <v>0</v>
      </c>
      <c r="M10" s="15">
        <v>202500000047878</v>
      </c>
      <c r="N10" s="15" t="s">
        <v>346</v>
      </c>
      <c r="O10" s="15" t="s">
        <v>106</v>
      </c>
      <c r="P10" s="8" t="s">
        <v>213</v>
      </c>
      <c r="Q10" s="16">
        <v>536854822.88</v>
      </c>
      <c r="R10" s="16">
        <v>0</v>
      </c>
      <c r="S10" s="16">
        <v>0</v>
      </c>
      <c r="T10" s="16">
        <v>90224764</v>
      </c>
      <c r="U10" s="16">
        <v>0</v>
      </c>
      <c r="V10" s="16">
        <v>0</v>
      </c>
      <c r="W10" s="16">
        <v>0</v>
      </c>
      <c r="X10" s="16">
        <v>0</v>
      </c>
      <c r="Y10" s="16">
        <v>0</v>
      </c>
      <c r="Z10" s="16">
        <v>0</v>
      </c>
      <c r="AA10" s="16">
        <v>0</v>
      </c>
      <c r="AB10" s="16">
        <v>0</v>
      </c>
      <c r="AC10" s="16">
        <v>0</v>
      </c>
      <c r="AD10" s="16">
        <v>0</v>
      </c>
      <c r="AE10" s="17">
        <f t="shared" si="0"/>
        <v>627079586.88</v>
      </c>
      <c r="AF10" s="20">
        <v>62554300</v>
      </c>
      <c r="AG10" s="30">
        <v>13600000</v>
      </c>
      <c r="AH10" s="19">
        <v>13600000</v>
      </c>
      <c r="AI10" s="14">
        <f t="shared" si="2"/>
        <v>2.1687837213241228E-2</v>
      </c>
    </row>
    <row r="11" spans="1:35" s="8" customFormat="1" ht="135" x14ac:dyDescent="0.25">
      <c r="A11" s="8" t="s">
        <v>67</v>
      </c>
      <c r="B11" s="8" t="s">
        <v>10</v>
      </c>
      <c r="C11" s="9">
        <v>3301</v>
      </c>
      <c r="D11" s="8" t="s">
        <v>11</v>
      </c>
      <c r="E11" s="9" t="s">
        <v>236</v>
      </c>
      <c r="F11" s="10">
        <v>330101800</v>
      </c>
      <c r="G11" s="11" t="s">
        <v>134</v>
      </c>
      <c r="H11" s="12" t="s">
        <v>15</v>
      </c>
      <c r="I11" s="13">
        <v>2</v>
      </c>
      <c r="J11" s="13">
        <v>1</v>
      </c>
      <c r="K11" s="29">
        <v>0</v>
      </c>
      <c r="L11" s="14">
        <f t="shared" si="1"/>
        <v>0</v>
      </c>
      <c r="M11" s="15">
        <v>202500000047800</v>
      </c>
      <c r="N11" s="15" t="s">
        <v>347</v>
      </c>
      <c r="O11" s="15" t="s">
        <v>106</v>
      </c>
      <c r="P11" s="8" t="s">
        <v>214</v>
      </c>
      <c r="Q11" s="16">
        <f>31029249+200000000</f>
        <v>231029249</v>
      </c>
      <c r="R11" s="16">
        <v>0</v>
      </c>
      <c r="S11" s="16">
        <v>0</v>
      </c>
      <c r="T11" s="16">
        <v>0</v>
      </c>
      <c r="U11" s="16">
        <v>0</v>
      </c>
      <c r="V11" s="16">
        <v>0</v>
      </c>
      <c r="W11" s="16">
        <v>0</v>
      </c>
      <c r="X11" s="16">
        <v>0</v>
      </c>
      <c r="Y11" s="16">
        <v>0</v>
      </c>
      <c r="Z11" s="16">
        <v>0</v>
      </c>
      <c r="AA11" s="16">
        <v>0</v>
      </c>
      <c r="AB11" s="16">
        <v>0</v>
      </c>
      <c r="AC11" s="16">
        <v>0</v>
      </c>
      <c r="AD11" s="16">
        <v>0</v>
      </c>
      <c r="AE11" s="17">
        <f t="shared" si="0"/>
        <v>231029249</v>
      </c>
      <c r="AF11" s="20">
        <v>0</v>
      </c>
      <c r="AG11" s="30">
        <v>0</v>
      </c>
      <c r="AH11" s="19">
        <v>0</v>
      </c>
      <c r="AI11" s="14">
        <f t="shared" si="2"/>
        <v>0</v>
      </c>
    </row>
    <row r="12" spans="1:35" s="8" customFormat="1" ht="120" x14ac:dyDescent="0.25">
      <c r="A12" s="8" t="s">
        <v>67</v>
      </c>
      <c r="B12" s="8" t="s">
        <v>10</v>
      </c>
      <c r="C12" s="9">
        <v>3301</v>
      </c>
      <c r="D12" s="8" t="s">
        <v>11</v>
      </c>
      <c r="E12" s="9">
        <v>3301127</v>
      </c>
      <c r="F12" s="10">
        <v>330112700</v>
      </c>
      <c r="G12" s="11" t="s">
        <v>322</v>
      </c>
      <c r="H12" s="12" t="s">
        <v>323</v>
      </c>
      <c r="I12" s="13">
        <v>4</v>
      </c>
      <c r="J12" s="13">
        <v>1</v>
      </c>
      <c r="K12" s="29">
        <v>0</v>
      </c>
      <c r="L12" s="14">
        <f t="shared" si="1"/>
        <v>0</v>
      </c>
      <c r="M12" s="15">
        <v>202600000012586</v>
      </c>
      <c r="N12" s="15" t="s">
        <v>348</v>
      </c>
      <c r="O12" s="15" t="s">
        <v>106</v>
      </c>
      <c r="P12" s="8" t="s">
        <v>324</v>
      </c>
      <c r="Q12" s="16">
        <v>0</v>
      </c>
      <c r="R12" s="16">
        <v>0</v>
      </c>
      <c r="S12" s="16">
        <v>0</v>
      </c>
      <c r="T12" s="16">
        <v>0</v>
      </c>
      <c r="U12" s="16">
        <v>0</v>
      </c>
      <c r="V12" s="16">
        <v>0</v>
      </c>
      <c r="W12" s="16">
        <v>59160720</v>
      </c>
      <c r="X12" s="16">
        <v>0</v>
      </c>
      <c r="Y12" s="16">
        <v>0</v>
      </c>
      <c r="Z12" s="16">
        <v>0</v>
      </c>
      <c r="AA12" s="16">
        <v>0</v>
      </c>
      <c r="AB12" s="16">
        <v>0</v>
      </c>
      <c r="AC12" s="16">
        <v>0</v>
      </c>
      <c r="AD12" s="16">
        <v>0</v>
      </c>
      <c r="AE12" s="17">
        <f t="shared" si="0"/>
        <v>59160720</v>
      </c>
      <c r="AF12" s="20">
        <v>0</v>
      </c>
      <c r="AG12" s="30">
        <v>0</v>
      </c>
      <c r="AH12" s="19">
        <v>0</v>
      </c>
      <c r="AI12" s="14">
        <f t="shared" si="2"/>
        <v>0</v>
      </c>
    </row>
    <row r="13" spans="1:35" s="8" customFormat="1" ht="120" x14ac:dyDescent="0.25">
      <c r="A13" s="8" t="s">
        <v>67</v>
      </c>
      <c r="B13" s="8" t="s">
        <v>10</v>
      </c>
      <c r="C13" s="9">
        <v>3301</v>
      </c>
      <c r="D13" s="8" t="s">
        <v>11</v>
      </c>
      <c r="E13" s="9" t="s">
        <v>237</v>
      </c>
      <c r="F13" s="10">
        <v>330112900</v>
      </c>
      <c r="G13" s="11" t="s">
        <v>135</v>
      </c>
      <c r="H13" s="12" t="s">
        <v>16</v>
      </c>
      <c r="I13" s="13">
        <v>1</v>
      </c>
      <c r="J13" s="13">
        <v>1</v>
      </c>
      <c r="K13" s="29">
        <v>0</v>
      </c>
      <c r="L13" s="14">
        <f t="shared" si="1"/>
        <v>0</v>
      </c>
      <c r="M13" s="15">
        <v>202500000047832</v>
      </c>
      <c r="N13" s="15" t="s">
        <v>349</v>
      </c>
      <c r="O13" s="15" t="s">
        <v>106</v>
      </c>
      <c r="P13" s="8" t="s">
        <v>215</v>
      </c>
      <c r="Q13" s="16">
        <v>20000000</v>
      </c>
      <c r="R13" s="16">
        <v>0</v>
      </c>
      <c r="S13" s="16">
        <v>0</v>
      </c>
      <c r="T13" s="16">
        <v>0</v>
      </c>
      <c r="U13" s="16">
        <v>0</v>
      </c>
      <c r="V13" s="16">
        <v>0</v>
      </c>
      <c r="W13" s="16">
        <v>0</v>
      </c>
      <c r="X13" s="16">
        <v>0</v>
      </c>
      <c r="Y13" s="16">
        <v>0</v>
      </c>
      <c r="Z13" s="16">
        <v>0</v>
      </c>
      <c r="AA13" s="16">
        <v>0</v>
      </c>
      <c r="AB13" s="16">
        <v>0</v>
      </c>
      <c r="AC13" s="16">
        <v>0</v>
      </c>
      <c r="AD13" s="16">
        <v>0</v>
      </c>
      <c r="AE13" s="17">
        <f t="shared" si="0"/>
        <v>20000000</v>
      </c>
      <c r="AF13" s="20">
        <v>0</v>
      </c>
      <c r="AG13" s="30">
        <v>0</v>
      </c>
      <c r="AH13" s="19">
        <v>0</v>
      </c>
      <c r="AI13" s="14">
        <f t="shared" si="2"/>
        <v>0</v>
      </c>
    </row>
    <row r="14" spans="1:35" s="8" customFormat="1" ht="75" x14ac:dyDescent="0.25">
      <c r="A14" s="8" t="s">
        <v>67</v>
      </c>
      <c r="B14" s="8" t="s">
        <v>10</v>
      </c>
      <c r="C14" s="9">
        <v>3302</v>
      </c>
      <c r="D14" s="8" t="s">
        <v>17</v>
      </c>
      <c r="E14" s="9" t="s">
        <v>238</v>
      </c>
      <c r="F14" s="10">
        <v>330204900</v>
      </c>
      <c r="G14" s="11" t="s">
        <v>136</v>
      </c>
      <c r="H14" s="12" t="s">
        <v>18</v>
      </c>
      <c r="I14" s="13">
        <v>4</v>
      </c>
      <c r="J14" s="13">
        <v>1</v>
      </c>
      <c r="K14" s="29">
        <v>0</v>
      </c>
      <c r="L14" s="14">
        <f t="shared" si="1"/>
        <v>0</v>
      </c>
      <c r="M14" s="15">
        <v>202500000047879</v>
      </c>
      <c r="N14" s="15" t="s">
        <v>350</v>
      </c>
      <c r="O14" s="15" t="s">
        <v>106</v>
      </c>
      <c r="P14" s="8" t="s">
        <v>283</v>
      </c>
      <c r="Q14" s="16">
        <v>30000066</v>
      </c>
      <c r="R14" s="16">
        <v>0</v>
      </c>
      <c r="S14" s="16">
        <v>0</v>
      </c>
      <c r="T14" s="16">
        <v>0</v>
      </c>
      <c r="U14" s="16">
        <v>0</v>
      </c>
      <c r="V14" s="16">
        <v>0</v>
      </c>
      <c r="W14" s="16">
        <v>0</v>
      </c>
      <c r="X14" s="16">
        <v>0</v>
      </c>
      <c r="Y14" s="16">
        <v>0</v>
      </c>
      <c r="Z14" s="16">
        <v>0</v>
      </c>
      <c r="AA14" s="16">
        <v>0</v>
      </c>
      <c r="AB14" s="16">
        <v>0</v>
      </c>
      <c r="AC14" s="16">
        <v>0</v>
      </c>
      <c r="AD14" s="16">
        <v>0</v>
      </c>
      <c r="AE14" s="17">
        <f t="shared" si="0"/>
        <v>30000066</v>
      </c>
      <c r="AF14" s="20">
        <v>0</v>
      </c>
      <c r="AG14" s="30">
        <v>0</v>
      </c>
      <c r="AH14" s="19">
        <v>0</v>
      </c>
      <c r="AI14" s="14">
        <f t="shared" si="2"/>
        <v>0</v>
      </c>
    </row>
    <row r="15" spans="1:35" s="8" customFormat="1" ht="105" x14ac:dyDescent="0.25">
      <c r="A15" s="8" t="s">
        <v>67</v>
      </c>
      <c r="B15" s="8" t="s">
        <v>10</v>
      </c>
      <c r="C15" s="9">
        <v>3302</v>
      </c>
      <c r="D15" s="8" t="s">
        <v>17</v>
      </c>
      <c r="E15" s="9" t="s">
        <v>284</v>
      </c>
      <c r="F15" s="10">
        <v>330207000</v>
      </c>
      <c r="G15" s="11" t="s">
        <v>285</v>
      </c>
      <c r="H15" s="12" t="s">
        <v>19</v>
      </c>
      <c r="I15" s="13">
        <v>2</v>
      </c>
      <c r="J15" s="13">
        <v>1</v>
      </c>
      <c r="K15" s="29">
        <v>0</v>
      </c>
      <c r="L15" s="14">
        <f t="shared" si="1"/>
        <v>0</v>
      </c>
      <c r="M15" s="15">
        <v>202500000047807</v>
      </c>
      <c r="N15" s="15" t="s">
        <v>351</v>
      </c>
      <c r="O15" s="15" t="s">
        <v>106</v>
      </c>
      <c r="P15" s="8" t="s">
        <v>286</v>
      </c>
      <c r="Q15" s="16">
        <v>42000000</v>
      </c>
      <c r="R15" s="16">
        <v>0</v>
      </c>
      <c r="S15" s="16">
        <v>0</v>
      </c>
      <c r="T15" s="16">
        <v>0</v>
      </c>
      <c r="U15" s="16">
        <v>0</v>
      </c>
      <c r="V15" s="16">
        <v>0</v>
      </c>
      <c r="W15" s="16">
        <v>0</v>
      </c>
      <c r="X15" s="16">
        <v>0</v>
      </c>
      <c r="Y15" s="16">
        <v>0</v>
      </c>
      <c r="Z15" s="16">
        <v>0</v>
      </c>
      <c r="AA15" s="16">
        <v>0</v>
      </c>
      <c r="AB15" s="16">
        <v>0</v>
      </c>
      <c r="AC15" s="16">
        <v>0</v>
      </c>
      <c r="AD15" s="16">
        <v>0</v>
      </c>
      <c r="AE15" s="17">
        <f t="shared" si="0"/>
        <v>42000000</v>
      </c>
      <c r="AF15" s="20">
        <v>13926000</v>
      </c>
      <c r="AG15" s="30">
        <v>6963000</v>
      </c>
      <c r="AH15" s="19">
        <v>6963000</v>
      </c>
      <c r="AI15" s="14">
        <f t="shared" si="2"/>
        <v>0.16578571428571429</v>
      </c>
    </row>
    <row r="16" spans="1:35" s="8" customFormat="1" ht="105" x14ac:dyDescent="0.25">
      <c r="A16" s="8" t="s">
        <v>67</v>
      </c>
      <c r="B16" s="8" t="s">
        <v>20</v>
      </c>
      <c r="C16" s="9">
        <v>4301</v>
      </c>
      <c r="D16" s="8" t="s">
        <v>21</v>
      </c>
      <c r="E16" s="9">
        <v>4301009</v>
      </c>
      <c r="F16" s="10">
        <v>430101200</v>
      </c>
      <c r="G16" s="11" t="s">
        <v>219</v>
      </c>
      <c r="H16" s="12" t="s">
        <v>22</v>
      </c>
      <c r="I16" s="13">
        <v>4</v>
      </c>
      <c r="J16" s="13">
        <v>1</v>
      </c>
      <c r="K16" s="29">
        <v>0</v>
      </c>
      <c r="L16" s="14">
        <f t="shared" si="1"/>
        <v>0</v>
      </c>
      <c r="M16" s="15">
        <v>202500000048358</v>
      </c>
      <c r="N16" s="15" t="s">
        <v>352</v>
      </c>
      <c r="O16" s="15" t="s">
        <v>107</v>
      </c>
      <c r="P16" s="8" t="s">
        <v>220</v>
      </c>
      <c r="Q16" s="16">
        <v>0</v>
      </c>
      <c r="R16" s="16">
        <v>0</v>
      </c>
      <c r="S16" s="16">
        <v>0</v>
      </c>
      <c r="T16" s="16">
        <v>0</v>
      </c>
      <c r="U16" s="16">
        <v>0</v>
      </c>
      <c r="V16" s="16">
        <v>0</v>
      </c>
      <c r="W16" s="16">
        <v>0</v>
      </c>
      <c r="X16" s="16">
        <v>30000000</v>
      </c>
      <c r="Y16" s="16">
        <v>0</v>
      </c>
      <c r="Z16" s="16">
        <v>0</v>
      </c>
      <c r="AA16" s="16">
        <v>0</v>
      </c>
      <c r="AB16" s="16">
        <v>0</v>
      </c>
      <c r="AC16" s="16">
        <v>0</v>
      </c>
      <c r="AD16" s="16">
        <v>0</v>
      </c>
      <c r="AE16" s="17">
        <f t="shared" ref="AE16:AE32" si="3">SUM(Q16:AD16)</f>
        <v>30000000</v>
      </c>
      <c r="AF16" s="20">
        <v>0</v>
      </c>
      <c r="AG16" s="30">
        <v>0</v>
      </c>
      <c r="AH16" s="19">
        <v>0</v>
      </c>
      <c r="AI16" s="14">
        <f t="shared" si="2"/>
        <v>0</v>
      </c>
    </row>
    <row r="17" spans="1:35" s="8" customFormat="1" ht="90" x14ac:dyDescent="0.25">
      <c r="A17" s="8" t="s">
        <v>67</v>
      </c>
      <c r="B17" s="8" t="s">
        <v>20</v>
      </c>
      <c r="C17" s="9">
        <v>4301</v>
      </c>
      <c r="D17" s="8" t="s">
        <v>21</v>
      </c>
      <c r="E17" s="9">
        <v>4301017</v>
      </c>
      <c r="F17" s="10">
        <v>430101700</v>
      </c>
      <c r="G17" s="11" t="s">
        <v>325</v>
      </c>
      <c r="H17" s="11" t="s">
        <v>325</v>
      </c>
      <c r="I17" s="13">
        <v>1</v>
      </c>
      <c r="J17" s="13">
        <v>1</v>
      </c>
      <c r="K17" s="29">
        <v>0</v>
      </c>
      <c r="L17" s="14">
        <f t="shared" si="1"/>
        <v>0</v>
      </c>
      <c r="M17" s="15">
        <v>202600000012610</v>
      </c>
      <c r="N17" s="15" t="s">
        <v>326</v>
      </c>
      <c r="O17" s="4" t="s">
        <v>110</v>
      </c>
      <c r="P17" s="8" t="s">
        <v>326</v>
      </c>
      <c r="Q17" s="16">
        <v>112012348.87</v>
      </c>
      <c r="R17" s="16">
        <v>0</v>
      </c>
      <c r="S17" s="16">
        <v>0</v>
      </c>
      <c r="T17" s="16">
        <v>0</v>
      </c>
      <c r="U17" s="16">
        <v>120299685</v>
      </c>
      <c r="V17" s="16">
        <v>0</v>
      </c>
      <c r="W17" s="16">
        <v>0</v>
      </c>
      <c r="X17" s="16">
        <v>0</v>
      </c>
      <c r="Y17" s="16">
        <v>0</v>
      </c>
      <c r="Z17" s="16">
        <v>0</v>
      </c>
      <c r="AA17" s="16">
        <v>645205.96</v>
      </c>
      <c r="AB17" s="16">
        <v>0</v>
      </c>
      <c r="AC17" s="16">
        <v>0</v>
      </c>
      <c r="AD17" s="16">
        <v>0</v>
      </c>
      <c r="AE17" s="17">
        <f t="shared" si="3"/>
        <v>232957239.83000001</v>
      </c>
      <c r="AF17" s="20">
        <v>164744286</v>
      </c>
      <c r="AG17" s="30">
        <v>0</v>
      </c>
      <c r="AH17" s="19">
        <v>0</v>
      </c>
      <c r="AI17" s="14">
        <f t="shared" si="2"/>
        <v>0</v>
      </c>
    </row>
    <row r="18" spans="1:35" s="8" customFormat="1" ht="105" x14ac:dyDescent="0.25">
      <c r="A18" s="8" t="s">
        <v>67</v>
      </c>
      <c r="B18" s="8" t="s">
        <v>20</v>
      </c>
      <c r="C18" s="9">
        <v>4301</v>
      </c>
      <c r="D18" s="8" t="s">
        <v>21</v>
      </c>
      <c r="E18" s="9">
        <v>4301024</v>
      </c>
      <c r="F18" s="10">
        <v>430102400</v>
      </c>
      <c r="G18" s="11" t="s">
        <v>287</v>
      </c>
      <c r="H18" s="11" t="s">
        <v>287</v>
      </c>
      <c r="I18" s="13">
        <v>4</v>
      </c>
      <c r="J18" s="13">
        <v>2</v>
      </c>
      <c r="K18" s="29">
        <v>0</v>
      </c>
      <c r="L18" s="14">
        <f t="shared" si="1"/>
        <v>0</v>
      </c>
      <c r="M18" s="15">
        <v>202500000048481</v>
      </c>
      <c r="N18" s="15" t="s">
        <v>353</v>
      </c>
      <c r="O18" s="15" t="s">
        <v>107</v>
      </c>
      <c r="P18" s="8" t="s">
        <v>288</v>
      </c>
      <c r="Q18" s="16">
        <v>0</v>
      </c>
      <c r="R18" s="16">
        <v>0</v>
      </c>
      <c r="S18" s="16">
        <v>0</v>
      </c>
      <c r="T18" s="16">
        <v>0</v>
      </c>
      <c r="U18" s="16">
        <v>0</v>
      </c>
      <c r="V18" s="16">
        <v>0</v>
      </c>
      <c r="W18" s="16">
        <v>0</v>
      </c>
      <c r="X18" s="16">
        <v>50000000</v>
      </c>
      <c r="Y18" s="16">
        <v>0</v>
      </c>
      <c r="Z18" s="16">
        <v>0</v>
      </c>
      <c r="AA18" s="16">
        <v>0</v>
      </c>
      <c r="AB18" s="16">
        <v>0</v>
      </c>
      <c r="AC18" s="16">
        <v>0</v>
      </c>
      <c r="AD18" s="16">
        <v>0</v>
      </c>
      <c r="AE18" s="17">
        <f t="shared" ref="AE18" si="4">SUM(Q18:AD18)</f>
        <v>50000000</v>
      </c>
      <c r="AF18" s="20">
        <v>0</v>
      </c>
      <c r="AG18" s="30">
        <v>0</v>
      </c>
      <c r="AH18" s="19">
        <v>0</v>
      </c>
      <c r="AI18" s="14">
        <f t="shared" si="2"/>
        <v>0</v>
      </c>
    </row>
    <row r="19" spans="1:35" s="8" customFormat="1" ht="150" x14ac:dyDescent="0.25">
      <c r="A19" s="8" t="s">
        <v>67</v>
      </c>
      <c r="B19" s="8" t="s">
        <v>20</v>
      </c>
      <c r="C19" s="9">
        <v>4301</v>
      </c>
      <c r="D19" s="8" t="s">
        <v>21</v>
      </c>
      <c r="E19" s="9" t="s">
        <v>239</v>
      </c>
      <c r="F19" s="10">
        <v>430103700</v>
      </c>
      <c r="G19" s="11" t="s">
        <v>221</v>
      </c>
      <c r="H19" s="12" t="s">
        <v>222</v>
      </c>
      <c r="I19" s="13">
        <v>6000</v>
      </c>
      <c r="J19" s="13">
        <v>1500</v>
      </c>
      <c r="K19" s="29">
        <v>0</v>
      </c>
      <c r="L19" s="14">
        <f t="shared" si="1"/>
        <v>0</v>
      </c>
      <c r="M19" s="15">
        <v>202500000048491</v>
      </c>
      <c r="N19" s="15" t="s">
        <v>354</v>
      </c>
      <c r="O19" s="15" t="s">
        <v>107</v>
      </c>
      <c r="P19" s="8" t="s">
        <v>223</v>
      </c>
      <c r="Q19" s="16">
        <v>200000000</v>
      </c>
      <c r="R19" s="16">
        <v>0</v>
      </c>
      <c r="S19" s="16">
        <v>0</v>
      </c>
      <c r="T19" s="16">
        <v>0</v>
      </c>
      <c r="U19" s="16">
        <v>130853292</v>
      </c>
      <c r="V19" s="16">
        <v>0</v>
      </c>
      <c r="W19" s="16">
        <v>290000000</v>
      </c>
      <c r="X19" s="16">
        <v>0</v>
      </c>
      <c r="Y19" s="16">
        <v>0</v>
      </c>
      <c r="Z19" s="16">
        <v>0</v>
      </c>
      <c r="AA19" s="16">
        <v>0</v>
      </c>
      <c r="AB19" s="16">
        <v>0</v>
      </c>
      <c r="AC19" s="16">
        <v>0</v>
      </c>
      <c r="AD19" s="16">
        <v>0</v>
      </c>
      <c r="AE19" s="17">
        <f t="shared" si="3"/>
        <v>620853292</v>
      </c>
      <c r="AF19" s="20">
        <v>527725198</v>
      </c>
      <c r="AG19" s="30">
        <v>0</v>
      </c>
      <c r="AH19" s="19">
        <v>0</v>
      </c>
      <c r="AI19" s="14">
        <f t="shared" si="2"/>
        <v>0</v>
      </c>
    </row>
    <row r="20" spans="1:35" s="8" customFormat="1" ht="120" x14ac:dyDescent="0.25">
      <c r="A20" s="8" t="s">
        <v>67</v>
      </c>
      <c r="B20" s="8" t="s">
        <v>72</v>
      </c>
      <c r="C20" s="9">
        <v>4101</v>
      </c>
      <c r="D20" s="8" t="s">
        <v>73</v>
      </c>
      <c r="E20" s="9" t="s">
        <v>240</v>
      </c>
      <c r="F20" s="10">
        <v>410101400</v>
      </c>
      <c r="G20" s="11" t="s">
        <v>174</v>
      </c>
      <c r="H20" s="12" t="s">
        <v>23</v>
      </c>
      <c r="I20" s="13">
        <v>150</v>
      </c>
      <c r="J20" s="13">
        <v>30</v>
      </c>
      <c r="K20" s="29">
        <v>0</v>
      </c>
      <c r="L20" s="14">
        <f t="shared" si="1"/>
        <v>0</v>
      </c>
      <c r="M20" s="15">
        <v>202500000048206</v>
      </c>
      <c r="N20" s="15" t="s">
        <v>355</v>
      </c>
      <c r="O20" s="15" t="s">
        <v>108</v>
      </c>
      <c r="P20" s="8" t="s">
        <v>175</v>
      </c>
      <c r="Q20" s="16">
        <v>0</v>
      </c>
      <c r="R20" s="16">
        <v>0</v>
      </c>
      <c r="S20" s="16">
        <v>0</v>
      </c>
      <c r="T20" s="16">
        <v>0</v>
      </c>
      <c r="U20" s="16">
        <v>0</v>
      </c>
      <c r="V20" s="16">
        <v>0</v>
      </c>
      <c r="W20" s="16">
        <v>0</v>
      </c>
      <c r="X20" s="16">
        <v>42480000</v>
      </c>
      <c r="Y20" s="16">
        <v>0</v>
      </c>
      <c r="Z20" s="16">
        <v>0</v>
      </c>
      <c r="AA20" s="16">
        <v>0</v>
      </c>
      <c r="AB20" s="16">
        <v>0</v>
      </c>
      <c r="AC20" s="16">
        <v>0</v>
      </c>
      <c r="AD20" s="16">
        <v>0</v>
      </c>
      <c r="AE20" s="17">
        <f t="shared" si="3"/>
        <v>42480000</v>
      </c>
      <c r="AF20" s="20">
        <v>20430000</v>
      </c>
      <c r="AG20" s="30">
        <v>10215000</v>
      </c>
      <c r="AH20" s="19">
        <v>10215000</v>
      </c>
      <c r="AI20" s="14">
        <f t="shared" si="2"/>
        <v>0.24046610169491525</v>
      </c>
    </row>
    <row r="21" spans="1:35" s="8" customFormat="1" ht="90" x14ac:dyDescent="0.25">
      <c r="A21" s="8" t="s">
        <v>67</v>
      </c>
      <c r="B21" s="8" t="s">
        <v>72</v>
      </c>
      <c r="C21" s="9">
        <v>4101</v>
      </c>
      <c r="D21" s="8" t="s">
        <v>73</v>
      </c>
      <c r="E21" s="9" t="s">
        <v>241</v>
      </c>
      <c r="F21" s="10">
        <v>410102500</v>
      </c>
      <c r="G21" s="11" t="s">
        <v>176</v>
      </c>
      <c r="H21" s="12" t="s">
        <v>24</v>
      </c>
      <c r="I21" s="13">
        <v>50</v>
      </c>
      <c r="J21" s="13">
        <v>12</v>
      </c>
      <c r="K21" s="29">
        <v>0</v>
      </c>
      <c r="L21" s="14">
        <f t="shared" si="1"/>
        <v>0</v>
      </c>
      <c r="M21" s="15">
        <v>202500000048192</v>
      </c>
      <c r="N21" s="15" t="s">
        <v>356</v>
      </c>
      <c r="O21" s="15" t="s">
        <v>108</v>
      </c>
      <c r="P21" s="8" t="s">
        <v>177</v>
      </c>
      <c r="Q21" s="16">
        <v>15000000</v>
      </c>
      <c r="R21" s="16">
        <v>0</v>
      </c>
      <c r="S21" s="16">
        <v>0</v>
      </c>
      <c r="T21" s="16">
        <v>0</v>
      </c>
      <c r="U21" s="16">
        <v>0</v>
      </c>
      <c r="V21" s="16">
        <v>0</v>
      </c>
      <c r="W21" s="16">
        <v>0</v>
      </c>
      <c r="X21" s="16">
        <v>0</v>
      </c>
      <c r="Y21" s="16">
        <v>0</v>
      </c>
      <c r="Z21" s="16">
        <v>0</v>
      </c>
      <c r="AA21" s="16">
        <v>0</v>
      </c>
      <c r="AB21" s="16">
        <v>0</v>
      </c>
      <c r="AC21" s="16">
        <v>0</v>
      </c>
      <c r="AD21" s="16">
        <v>0</v>
      </c>
      <c r="AE21" s="17">
        <f t="shared" si="3"/>
        <v>15000000</v>
      </c>
      <c r="AF21" s="20">
        <v>0</v>
      </c>
      <c r="AG21" s="30">
        <v>0</v>
      </c>
      <c r="AH21" s="19">
        <v>0</v>
      </c>
      <c r="AI21" s="14">
        <f t="shared" si="2"/>
        <v>0</v>
      </c>
    </row>
    <row r="22" spans="1:35" s="8" customFormat="1" ht="105" x14ac:dyDescent="0.25">
      <c r="A22" s="8" t="s">
        <v>67</v>
      </c>
      <c r="B22" s="8" t="s">
        <v>72</v>
      </c>
      <c r="C22" s="9">
        <v>4102</v>
      </c>
      <c r="D22" s="8" t="s">
        <v>74</v>
      </c>
      <c r="E22" s="9" t="s">
        <v>242</v>
      </c>
      <c r="F22" s="10">
        <v>410200100</v>
      </c>
      <c r="G22" s="11" t="s">
        <v>178</v>
      </c>
      <c r="H22" s="12" t="s">
        <v>25</v>
      </c>
      <c r="I22" s="13">
        <v>1200</v>
      </c>
      <c r="J22" s="13">
        <v>300</v>
      </c>
      <c r="K22" s="29">
        <v>0</v>
      </c>
      <c r="L22" s="14">
        <f t="shared" si="1"/>
        <v>0</v>
      </c>
      <c r="M22" s="15">
        <v>202500000048222</v>
      </c>
      <c r="N22" s="15" t="s">
        <v>357</v>
      </c>
      <c r="O22" s="15" t="s">
        <v>108</v>
      </c>
      <c r="P22" s="8" t="s">
        <v>179</v>
      </c>
      <c r="Q22" s="16">
        <v>0</v>
      </c>
      <c r="R22" s="16">
        <v>0</v>
      </c>
      <c r="S22" s="16">
        <v>0</v>
      </c>
      <c r="T22" s="16">
        <v>0</v>
      </c>
      <c r="U22" s="16">
        <v>0</v>
      </c>
      <c r="V22" s="16">
        <v>0</v>
      </c>
      <c r="W22" s="16">
        <v>90000000</v>
      </c>
      <c r="X22" s="16">
        <v>0</v>
      </c>
      <c r="Y22" s="16">
        <v>0</v>
      </c>
      <c r="Z22" s="16">
        <v>0</v>
      </c>
      <c r="AA22" s="16">
        <v>0</v>
      </c>
      <c r="AB22" s="16">
        <v>0</v>
      </c>
      <c r="AC22" s="16">
        <v>0</v>
      </c>
      <c r="AD22" s="16">
        <v>0</v>
      </c>
      <c r="AE22" s="17">
        <f t="shared" si="3"/>
        <v>90000000</v>
      </c>
      <c r="AF22" s="20">
        <v>22500000</v>
      </c>
      <c r="AG22" s="30">
        <v>17031000</v>
      </c>
      <c r="AH22" s="19">
        <v>17031000</v>
      </c>
      <c r="AI22" s="14">
        <f t="shared" si="2"/>
        <v>0.18923333333333334</v>
      </c>
    </row>
    <row r="23" spans="1:35" s="8" customFormat="1" ht="105" x14ac:dyDescent="0.25">
      <c r="A23" s="8" t="s">
        <v>67</v>
      </c>
      <c r="B23" s="8" t="s">
        <v>72</v>
      </c>
      <c r="C23" s="9">
        <v>4102</v>
      </c>
      <c r="D23" s="8" t="s">
        <v>74</v>
      </c>
      <c r="E23" s="9">
        <v>4102006</v>
      </c>
      <c r="F23" s="10">
        <v>410200600</v>
      </c>
      <c r="G23" s="11" t="s">
        <v>327</v>
      </c>
      <c r="H23" s="12" t="s">
        <v>328</v>
      </c>
      <c r="I23" s="13">
        <v>1</v>
      </c>
      <c r="J23" s="13">
        <v>1</v>
      </c>
      <c r="K23" s="29">
        <v>0</v>
      </c>
      <c r="L23" s="14">
        <f t="shared" si="1"/>
        <v>0</v>
      </c>
      <c r="M23" s="15">
        <v>202600000012656</v>
      </c>
      <c r="N23" s="15" t="s">
        <v>329</v>
      </c>
      <c r="O23" s="15" t="s">
        <v>108</v>
      </c>
      <c r="P23" s="8" t="s">
        <v>329</v>
      </c>
      <c r="Q23" s="16">
        <v>0</v>
      </c>
      <c r="R23" s="16">
        <v>0</v>
      </c>
      <c r="S23" s="16">
        <v>0</v>
      </c>
      <c r="T23" s="16">
        <v>0</v>
      </c>
      <c r="U23" s="16">
        <v>0</v>
      </c>
      <c r="V23" s="16">
        <v>0</v>
      </c>
      <c r="W23" s="16">
        <v>0</v>
      </c>
      <c r="X23" s="16">
        <v>0</v>
      </c>
      <c r="Y23" s="16">
        <v>0</v>
      </c>
      <c r="Z23" s="16">
        <v>0</v>
      </c>
      <c r="AA23" s="16">
        <v>0</v>
      </c>
      <c r="AB23" s="16">
        <v>0</v>
      </c>
      <c r="AC23" s="16">
        <v>0</v>
      </c>
      <c r="AD23" s="16">
        <v>52367961.289999999</v>
      </c>
      <c r="AE23" s="17">
        <f t="shared" ref="AE23" si="5">SUM(Q23:AD23)</f>
        <v>52367961.289999999</v>
      </c>
      <c r="AF23" s="20">
        <v>0</v>
      </c>
      <c r="AG23" s="30">
        <v>0</v>
      </c>
      <c r="AH23" s="19">
        <v>0</v>
      </c>
      <c r="AI23" s="14">
        <f t="shared" si="2"/>
        <v>0</v>
      </c>
    </row>
    <row r="24" spans="1:35" s="8" customFormat="1" ht="195" x14ac:dyDescent="0.25">
      <c r="A24" s="8" t="s">
        <v>67</v>
      </c>
      <c r="B24" s="8" t="s">
        <v>72</v>
      </c>
      <c r="C24" s="9">
        <v>4102</v>
      </c>
      <c r="D24" s="8" t="s">
        <v>74</v>
      </c>
      <c r="E24" s="9" t="s">
        <v>243</v>
      </c>
      <c r="F24" s="10">
        <v>410203800</v>
      </c>
      <c r="G24" s="11" t="s">
        <v>26</v>
      </c>
      <c r="H24" s="12" t="s">
        <v>26</v>
      </c>
      <c r="I24" s="13">
        <v>60</v>
      </c>
      <c r="J24" s="13">
        <v>15</v>
      </c>
      <c r="K24" s="29">
        <v>0</v>
      </c>
      <c r="L24" s="14">
        <f t="shared" si="1"/>
        <v>0</v>
      </c>
      <c r="M24" s="15">
        <v>202500000048210</v>
      </c>
      <c r="N24" s="15" t="s">
        <v>358</v>
      </c>
      <c r="O24" s="15" t="s">
        <v>108</v>
      </c>
      <c r="P24" s="8" t="s">
        <v>180</v>
      </c>
      <c r="Q24" s="16">
        <v>110000000</v>
      </c>
      <c r="R24" s="16">
        <v>0</v>
      </c>
      <c r="S24" s="16">
        <v>0</v>
      </c>
      <c r="T24" s="16">
        <v>0</v>
      </c>
      <c r="U24" s="16">
        <v>0</v>
      </c>
      <c r="V24" s="16">
        <v>0</v>
      </c>
      <c r="W24" s="16">
        <v>0</v>
      </c>
      <c r="X24" s="16">
        <v>48217564</v>
      </c>
      <c r="Y24" s="16">
        <v>0</v>
      </c>
      <c r="Z24" s="16">
        <v>0</v>
      </c>
      <c r="AA24" s="16">
        <v>0</v>
      </c>
      <c r="AB24" s="16">
        <v>0</v>
      </c>
      <c r="AC24" s="16">
        <v>0</v>
      </c>
      <c r="AD24" s="16">
        <v>0</v>
      </c>
      <c r="AE24" s="17">
        <f>SUM(Q24:AD24)</f>
        <v>158217564</v>
      </c>
      <c r="AF24" s="20">
        <v>65719500</v>
      </c>
      <c r="AG24" s="30">
        <v>34534500</v>
      </c>
      <c r="AH24" s="19">
        <v>34534500</v>
      </c>
      <c r="AI24" s="14">
        <f t="shared" si="2"/>
        <v>0.21827222671687702</v>
      </c>
    </row>
    <row r="25" spans="1:35" s="8" customFormat="1" ht="75" x14ac:dyDescent="0.25">
      <c r="A25" s="8" t="s">
        <v>67</v>
      </c>
      <c r="B25" s="8" t="s">
        <v>72</v>
      </c>
      <c r="C25" s="9">
        <v>4102</v>
      </c>
      <c r="D25" s="8" t="s">
        <v>74</v>
      </c>
      <c r="E25" s="9" t="s">
        <v>244</v>
      </c>
      <c r="F25" s="10">
        <v>410204200</v>
      </c>
      <c r="G25" s="11" t="s">
        <v>27</v>
      </c>
      <c r="H25" s="12" t="s">
        <v>27</v>
      </c>
      <c r="I25" s="13">
        <v>24</v>
      </c>
      <c r="J25" s="13">
        <v>5</v>
      </c>
      <c r="K25" s="29">
        <v>0</v>
      </c>
      <c r="L25" s="14">
        <f t="shared" si="1"/>
        <v>0</v>
      </c>
      <c r="M25" s="15">
        <v>202500000048257</v>
      </c>
      <c r="N25" s="15" t="s">
        <v>359</v>
      </c>
      <c r="O25" s="15" t="s">
        <v>108</v>
      </c>
      <c r="P25" s="8" t="s">
        <v>180</v>
      </c>
      <c r="Q25" s="16">
        <v>37328368</v>
      </c>
      <c r="R25" s="16">
        <v>0</v>
      </c>
      <c r="S25" s="16">
        <v>0</v>
      </c>
      <c r="T25" s="16">
        <v>0</v>
      </c>
      <c r="U25" s="16">
        <v>0</v>
      </c>
      <c r="V25" s="16">
        <v>0</v>
      </c>
      <c r="W25" s="16">
        <v>28671634</v>
      </c>
      <c r="X25" s="16">
        <v>0</v>
      </c>
      <c r="Y25" s="16">
        <v>0</v>
      </c>
      <c r="Z25" s="16">
        <v>0</v>
      </c>
      <c r="AA25" s="16">
        <v>0</v>
      </c>
      <c r="AB25" s="16">
        <v>0</v>
      </c>
      <c r="AC25" s="16">
        <v>0</v>
      </c>
      <c r="AD25" s="16">
        <v>0</v>
      </c>
      <c r="AE25" s="17">
        <f t="shared" si="3"/>
        <v>66000002</v>
      </c>
      <c r="AF25" s="20">
        <v>45873000</v>
      </c>
      <c r="AG25" s="30">
        <v>7500000</v>
      </c>
      <c r="AH25" s="19">
        <v>7500000</v>
      </c>
      <c r="AI25" s="14">
        <f t="shared" si="2"/>
        <v>0.11363636019283757</v>
      </c>
    </row>
    <row r="26" spans="1:35" s="8" customFormat="1" ht="180" x14ac:dyDescent="0.25">
      <c r="A26" s="8" t="s">
        <v>67</v>
      </c>
      <c r="B26" s="8" t="s">
        <v>72</v>
      </c>
      <c r="C26" s="9">
        <v>4102</v>
      </c>
      <c r="D26" s="8" t="s">
        <v>74</v>
      </c>
      <c r="E26" s="9" t="s">
        <v>245</v>
      </c>
      <c r="F26" s="10">
        <v>410204300</v>
      </c>
      <c r="G26" s="11" t="s">
        <v>28</v>
      </c>
      <c r="H26" s="12" t="s">
        <v>181</v>
      </c>
      <c r="I26" s="13">
        <v>150</v>
      </c>
      <c r="J26" s="13">
        <v>38</v>
      </c>
      <c r="K26" s="29">
        <v>0</v>
      </c>
      <c r="L26" s="14">
        <f t="shared" si="1"/>
        <v>0</v>
      </c>
      <c r="M26" s="15">
        <v>202500000048251</v>
      </c>
      <c r="N26" s="15" t="s">
        <v>360</v>
      </c>
      <c r="O26" s="15" t="s">
        <v>108</v>
      </c>
      <c r="P26" s="8" t="s">
        <v>182</v>
      </c>
      <c r="Q26" s="16">
        <v>0</v>
      </c>
      <c r="R26" s="16">
        <v>0</v>
      </c>
      <c r="S26" s="16">
        <v>0</v>
      </c>
      <c r="T26" s="16">
        <v>0</v>
      </c>
      <c r="U26" s="16">
        <v>0</v>
      </c>
      <c r="V26" s="16">
        <v>0</v>
      </c>
      <c r="W26" s="16">
        <v>0</v>
      </c>
      <c r="X26" s="16">
        <v>27720000</v>
      </c>
      <c r="Y26" s="16">
        <v>0</v>
      </c>
      <c r="Z26" s="16">
        <v>0</v>
      </c>
      <c r="AA26" s="16">
        <v>0</v>
      </c>
      <c r="AB26" s="16">
        <v>0</v>
      </c>
      <c r="AC26" s="16">
        <v>0</v>
      </c>
      <c r="AD26" s="16">
        <v>0</v>
      </c>
      <c r="AE26" s="17">
        <f t="shared" si="3"/>
        <v>27720000</v>
      </c>
      <c r="AF26" s="20">
        <v>14805000</v>
      </c>
      <c r="AG26" s="30">
        <v>5405000</v>
      </c>
      <c r="AH26" s="19">
        <v>5405000</v>
      </c>
      <c r="AI26" s="14">
        <f t="shared" si="2"/>
        <v>0.19498556998556998</v>
      </c>
    </row>
    <row r="27" spans="1:35" s="8" customFormat="1" ht="135" x14ac:dyDescent="0.25">
      <c r="A27" s="8" t="s">
        <v>67</v>
      </c>
      <c r="B27" s="8" t="s">
        <v>72</v>
      </c>
      <c r="C27" s="9">
        <v>4103</v>
      </c>
      <c r="D27" s="8" t="s">
        <v>316</v>
      </c>
      <c r="E27" s="9">
        <v>4103031</v>
      </c>
      <c r="F27" s="10">
        <v>410303100</v>
      </c>
      <c r="G27" s="11" t="s">
        <v>317</v>
      </c>
      <c r="H27" s="12" t="s">
        <v>318</v>
      </c>
      <c r="I27" s="13">
        <v>1</v>
      </c>
      <c r="J27" s="13">
        <v>1</v>
      </c>
      <c r="K27" s="29">
        <v>0</v>
      </c>
      <c r="L27" s="14">
        <f t="shared" si="1"/>
        <v>0</v>
      </c>
      <c r="M27" s="15">
        <v>202600000006625</v>
      </c>
      <c r="N27" s="15" t="s">
        <v>318</v>
      </c>
      <c r="O27" s="15" t="s">
        <v>106</v>
      </c>
      <c r="P27" s="8" t="s">
        <v>318</v>
      </c>
      <c r="Q27" s="16">
        <v>32106043</v>
      </c>
      <c r="R27" s="16">
        <v>0</v>
      </c>
      <c r="S27" s="16">
        <v>0</v>
      </c>
      <c r="T27" s="16">
        <v>0</v>
      </c>
      <c r="U27" s="16">
        <v>0</v>
      </c>
      <c r="V27" s="16">
        <v>0</v>
      </c>
      <c r="W27" s="16">
        <v>0</v>
      </c>
      <c r="X27" s="16">
        <v>0</v>
      </c>
      <c r="Y27" s="16">
        <v>0</v>
      </c>
      <c r="Z27" s="16">
        <v>0</v>
      </c>
      <c r="AA27" s="16">
        <v>0</v>
      </c>
      <c r="AB27" s="16">
        <v>0</v>
      </c>
      <c r="AC27" s="16">
        <v>0</v>
      </c>
      <c r="AD27" s="16">
        <v>0</v>
      </c>
      <c r="AE27" s="17">
        <f t="shared" ref="AE27" si="6">SUM(Q27:AD27)</f>
        <v>32106043</v>
      </c>
      <c r="AF27" s="20">
        <v>30899000</v>
      </c>
      <c r="AG27" s="30">
        <v>0</v>
      </c>
      <c r="AH27" s="19">
        <v>0</v>
      </c>
      <c r="AI27" s="14">
        <f t="shared" si="2"/>
        <v>0</v>
      </c>
    </row>
    <row r="28" spans="1:35" s="8" customFormat="1" ht="75" x14ac:dyDescent="0.25">
      <c r="A28" s="8" t="s">
        <v>67</v>
      </c>
      <c r="B28" s="8" t="s">
        <v>72</v>
      </c>
      <c r="C28" s="9">
        <v>4104</v>
      </c>
      <c r="D28" s="8" t="s">
        <v>75</v>
      </c>
      <c r="E28" s="9" t="s">
        <v>246</v>
      </c>
      <c r="F28" s="10">
        <v>410400800</v>
      </c>
      <c r="G28" s="11" t="s">
        <v>137</v>
      </c>
      <c r="H28" s="12" t="s">
        <v>29</v>
      </c>
      <c r="I28" s="13">
        <v>450</v>
      </c>
      <c r="J28" s="13">
        <v>113</v>
      </c>
      <c r="K28" s="29">
        <v>0</v>
      </c>
      <c r="L28" s="14">
        <f t="shared" si="1"/>
        <v>0</v>
      </c>
      <c r="M28" s="15">
        <v>202500000048290</v>
      </c>
      <c r="N28" s="15" t="s">
        <v>361</v>
      </c>
      <c r="O28" s="15" t="s">
        <v>105</v>
      </c>
      <c r="P28" s="8" t="s">
        <v>225</v>
      </c>
      <c r="Q28" s="16">
        <v>783079677.45000005</v>
      </c>
      <c r="R28" s="16">
        <v>0</v>
      </c>
      <c r="S28" s="16">
        <v>0</v>
      </c>
      <c r="T28" s="16">
        <v>0</v>
      </c>
      <c r="U28" s="16">
        <v>0</v>
      </c>
      <c r="V28" s="16">
        <v>0</v>
      </c>
      <c r="W28" s="16">
        <v>0</v>
      </c>
      <c r="X28" s="16">
        <v>0</v>
      </c>
      <c r="Y28" s="16">
        <v>0</v>
      </c>
      <c r="Z28" s="16">
        <v>0</v>
      </c>
      <c r="AA28" s="16">
        <v>6480091</v>
      </c>
      <c r="AB28" s="16">
        <v>0</v>
      </c>
      <c r="AC28" s="16">
        <v>0</v>
      </c>
      <c r="AD28" s="16">
        <v>0</v>
      </c>
      <c r="AE28" s="17">
        <f t="shared" si="3"/>
        <v>789559768.45000005</v>
      </c>
      <c r="AF28" s="20">
        <v>6420114</v>
      </c>
      <c r="AG28" s="30">
        <v>6420114</v>
      </c>
      <c r="AH28" s="19">
        <v>6420114</v>
      </c>
      <c r="AI28" s="14">
        <f t="shared" si="2"/>
        <v>8.1312577673549012E-3</v>
      </c>
    </row>
    <row r="29" spans="1:35" s="8" customFormat="1" ht="90" x14ac:dyDescent="0.25">
      <c r="A29" s="8" t="s">
        <v>67</v>
      </c>
      <c r="B29" s="8" t="s">
        <v>72</v>
      </c>
      <c r="C29" s="9">
        <v>4104</v>
      </c>
      <c r="D29" s="8" t="s">
        <v>75</v>
      </c>
      <c r="E29" s="9" t="s">
        <v>247</v>
      </c>
      <c r="F29" s="10">
        <v>410401200</v>
      </c>
      <c r="G29" s="11" t="s">
        <v>30</v>
      </c>
      <c r="H29" s="12" t="s">
        <v>30</v>
      </c>
      <c r="I29" s="13">
        <v>2</v>
      </c>
      <c r="J29" s="13">
        <v>1</v>
      </c>
      <c r="K29" s="29">
        <v>0</v>
      </c>
      <c r="L29" s="14">
        <f t="shared" si="1"/>
        <v>0</v>
      </c>
      <c r="M29" s="15">
        <v>202500000048277</v>
      </c>
      <c r="N29" s="15" t="s">
        <v>362</v>
      </c>
      <c r="O29" s="15" t="s">
        <v>105</v>
      </c>
      <c r="P29" s="8" t="s">
        <v>226</v>
      </c>
      <c r="Q29" s="16">
        <v>265606561</v>
      </c>
      <c r="R29" s="16">
        <v>0</v>
      </c>
      <c r="S29" s="16">
        <v>0</v>
      </c>
      <c r="T29" s="16">
        <v>0</v>
      </c>
      <c r="U29" s="16">
        <v>0</v>
      </c>
      <c r="V29" s="16">
        <v>0</v>
      </c>
      <c r="W29" s="16">
        <v>0</v>
      </c>
      <c r="X29" s="16">
        <v>0</v>
      </c>
      <c r="Y29" s="16">
        <v>0</v>
      </c>
      <c r="Z29" s="16">
        <v>0</v>
      </c>
      <c r="AA29" s="16">
        <v>0</v>
      </c>
      <c r="AB29" s="16">
        <v>0</v>
      </c>
      <c r="AC29" s="16">
        <v>0</v>
      </c>
      <c r="AD29" s="16">
        <v>0</v>
      </c>
      <c r="AE29" s="17">
        <f t="shared" si="3"/>
        <v>265606561</v>
      </c>
      <c r="AF29" s="20">
        <v>0</v>
      </c>
      <c r="AG29" s="30">
        <v>0</v>
      </c>
      <c r="AH29" s="19">
        <v>0</v>
      </c>
      <c r="AI29" s="14">
        <f t="shared" si="2"/>
        <v>0</v>
      </c>
    </row>
    <row r="30" spans="1:35" s="8" customFormat="1" ht="90" x14ac:dyDescent="0.25">
      <c r="A30" s="8" t="s">
        <v>67</v>
      </c>
      <c r="B30" s="8" t="s">
        <v>72</v>
      </c>
      <c r="C30" s="9">
        <v>4104</v>
      </c>
      <c r="D30" s="8" t="s">
        <v>75</v>
      </c>
      <c r="E30" s="9" t="s">
        <v>248</v>
      </c>
      <c r="F30" s="10">
        <v>410402000</v>
      </c>
      <c r="G30" s="11" t="s">
        <v>138</v>
      </c>
      <c r="H30" s="12" t="s">
        <v>31</v>
      </c>
      <c r="I30" s="13">
        <v>50</v>
      </c>
      <c r="J30" s="13">
        <v>13</v>
      </c>
      <c r="K30" s="29">
        <v>0</v>
      </c>
      <c r="L30" s="14">
        <f t="shared" si="1"/>
        <v>0</v>
      </c>
      <c r="M30" s="15">
        <v>202500000048309</v>
      </c>
      <c r="N30" s="15" t="s">
        <v>363</v>
      </c>
      <c r="O30" s="15" t="s">
        <v>105</v>
      </c>
      <c r="P30" s="8" t="s">
        <v>227</v>
      </c>
      <c r="Q30" s="16">
        <v>0</v>
      </c>
      <c r="R30" s="16">
        <v>0</v>
      </c>
      <c r="S30" s="16">
        <v>0</v>
      </c>
      <c r="T30" s="16">
        <v>0</v>
      </c>
      <c r="U30" s="16">
        <v>0</v>
      </c>
      <c r="V30" s="16">
        <v>0</v>
      </c>
      <c r="W30" s="16">
        <v>27720000</v>
      </c>
      <c r="X30" s="16">
        <v>0</v>
      </c>
      <c r="Y30" s="16">
        <v>0</v>
      </c>
      <c r="Z30" s="16">
        <v>0</v>
      </c>
      <c r="AA30" s="16">
        <v>0</v>
      </c>
      <c r="AB30" s="16">
        <v>0</v>
      </c>
      <c r="AC30" s="16">
        <v>0</v>
      </c>
      <c r="AD30" s="16">
        <v>0</v>
      </c>
      <c r="AE30" s="17">
        <f t="shared" si="3"/>
        <v>27720000</v>
      </c>
      <c r="AF30" s="20">
        <v>9284000</v>
      </c>
      <c r="AG30" s="30">
        <v>6963000</v>
      </c>
      <c r="AH30" s="19">
        <v>6963000</v>
      </c>
      <c r="AI30" s="14">
        <f t="shared" si="2"/>
        <v>0.25119047619047619</v>
      </c>
    </row>
    <row r="31" spans="1:35" s="8" customFormat="1" ht="90" x14ac:dyDescent="0.25">
      <c r="A31" s="8" t="s">
        <v>67</v>
      </c>
      <c r="B31" s="8" t="s">
        <v>76</v>
      </c>
      <c r="C31" s="9">
        <v>4001</v>
      </c>
      <c r="D31" s="8" t="s">
        <v>77</v>
      </c>
      <c r="E31" s="9">
        <v>4001039</v>
      </c>
      <c r="F31" s="10">
        <v>400103900</v>
      </c>
      <c r="G31" s="11" t="s">
        <v>298</v>
      </c>
      <c r="H31" s="12" t="s">
        <v>299</v>
      </c>
      <c r="I31" s="13">
        <v>100</v>
      </c>
      <c r="J31" s="13">
        <v>60</v>
      </c>
      <c r="K31" s="29">
        <v>0</v>
      </c>
      <c r="L31" s="14">
        <f t="shared" si="1"/>
        <v>0</v>
      </c>
      <c r="M31" s="2">
        <v>202500000048025</v>
      </c>
      <c r="N31" s="15" t="s">
        <v>364</v>
      </c>
      <c r="O31" s="4" t="s">
        <v>110</v>
      </c>
      <c r="P31" s="8" t="s">
        <v>196</v>
      </c>
      <c r="Q31" s="16">
        <v>287046858.13</v>
      </c>
      <c r="R31" s="16">
        <v>0</v>
      </c>
      <c r="S31" s="16">
        <v>0</v>
      </c>
      <c r="T31" s="16">
        <v>0</v>
      </c>
      <c r="U31" s="16">
        <v>0</v>
      </c>
      <c r="V31" s="16">
        <v>0</v>
      </c>
      <c r="W31" s="16">
        <v>479995039.98000002</v>
      </c>
      <c r="X31" s="16">
        <v>454065302</v>
      </c>
      <c r="Y31" s="16">
        <v>0</v>
      </c>
      <c r="Z31" s="16">
        <v>0</v>
      </c>
      <c r="AA31" s="16">
        <v>0</v>
      </c>
      <c r="AB31" s="16">
        <v>0</v>
      </c>
      <c r="AC31" s="16">
        <v>0</v>
      </c>
      <c r="AD31" s="16">
        <v>0</v>
      </c>
      <c r="AE31" s="17">
        <f t="shared" si="3"/>
        <v>1221107200.1100001</v>
      </c>
      <c r="AF31" s="20">
        <v>63603153</v>
      </c>
      <c r="AG31" s="30">
        <v>50000000</v>
      </c>
      <c r="AH31" s="19">
        <v>50000000</v>
      </c>
      <c r="AI31" s="14">
        <f t="shared" si="2"/>
        <v>4.0946445975829054E-2</v>
      </c>
    </row>
    <row r="32" spans="1:35" s="8" customFormat="1" ht="105" x14ac:dyDescent="0.25">
      <c r="A32" s="8" t="s">
        <v>67</v>
      </c>
      <c r="B32" s="8" t="s">
        <v>76</v>
      </c>
      <c r="C32" s="9">
        <v>4001</v>
      </c>
      <c r="D32" s="8" t="s">
        <v>77</v>
      </c>
      <c r="E32" s="9" t="s">
        <v>249</v>
      </c>
      <c r="F32" s="10">
        <v>400104400</v>
      </c>
      <c r="G32" s="11" t="s">
        <v>139</v>
      </c>
      <c r="H32" s="12" t="s">
        <v>32</v>
      </c>
      <c r="I32" s="13">
        <v>100</v>
      </c>
      <c r="J32" s="13">
        <v>50</v>
      </c>
      <c r="K32" s="29">
        <v>0</v>
      </c>
      <c r="L32" s="14">
        <f t="shared" si="1"/>
        <v>0</v>
      </c>
      <c r="M32" s="2">
        <v>202500000048004</v>
      </c>
      <c r="N32" s="15" t="s">
        <v>365</v>
      </c>
      <c r="O32" s="4" t="s">
        <v>110</v>
      </c>
      <c r="P32" s="8" t="s">
        <v>195</v>
      </c>
      <c r="Q32" s="16">
        <v>0</v>
      </c>
      <c r="R32" s="16">
        <v>0</v>
      </c>
      <c r="S32" s="16">
        <v>0</v>
      </c>
      <c r="T32" s="16">
        <v>0</v>
      </c>
      <c r="U32" s="16">
        <v>0</v>
      </c>
      <c r="V32" s="16">
        <v>0</v>
      </c>
      <c r="W32" s="16">
        <v>0</v>
      </c>
      <c r="X32" s="16">
        <v>359551141.88</v>
      </c>
      <c r="Y32" s="16">
        <v>0</v>
      </c>
      <c r="Z32" s="16">
        <v>0</v>
      </c>
      <c r="AA32" s="16">
        <v>0</v>
      </c>
      <c r="AB32" s="16">
        <v>0</v>
      </c>
      <c r="AC32" s="16">
        <v>0</v>
      </c>
      <c r="AD32" s="16">
        <v>0</v>
      </c>
      <c r="AE32" s="17">
        <f t="shared" si="3"/>
        <v>359551141.88</v>
      </c>
      <c r="AF32" s="20">
        <v>88714811</v>
      </c>
      <c r="AG32" s="30">
        <v>65569410</v>
      </c>
      <c r="AH32" s="19">
        <v>65569410</v>
      </c>
      <c r="AI32" s="14">
        <f t="shared" si="2"/>
        <v>0.18236462734384462</v>
      </c>
    </row>
    <row r="33" spans="1:35" s="8" customFormat="1" ht="105" x14ac:dyDescent="0.25">
      <c r="A33" s="8" t="s">
        <v>67</v>
      </c>
      <c r="B33" s="8" t="s">
        <v>76</v>
      </c>
      <c r="C33" s="9">
        <v>4001</v>
      </c>
      <c r="D33" s="8" t="s">
        <v>77</v>
      </c>
      <c r="E33" s="10">
        <v>4001042</v>
      </c>
      <c r="F33" s="10">
        <v>400104200</v>
      </c>
      <c r="G33" s="11" t="s">
        <v>313</v>
      </c>
      <c r="H33" s="12" t="s">
        <v>314</v>
      </c>
      <c r="I33" s="13">
        <v>100</v>
      </c>
      <c r="J33" s="13">
        <v>50</v>
      </c>
      <c r="K33" s="29">
        <v>0</v>
      </c>
      <c r="L33" s="14">
        <f t="shared" si="1"/>
        <v>0</v>
      </c>
      <c r="M33" s="2">
        <v>202600000012594</v>
      </c>
      <c r="N33" s="15" t="s">
        <v>366</v>
      </c>
      <c r="O33" s="4" t="s">
        <v>110</v>
      </c>
      <c r="P33" s="8" t="s">
        <v>315</v>
      </c>
      <c r="Q33" s="16">
        <v>289101814.25</v>
      </c>
      <c r="R33" s="16">
        <v>0</v>
      </c>
      <c r="S33" s="16">
        <v>0</v>
      </c>
      <c r="T33" s="16">
        <v>0</v>
      </c>
      <c r="U33" s="16">
        <v>0</v>
      </c>
      <c r="V33" s="16">
        <v>0</v>
      </c>
      <c r="W33" s="16">
        <v>0</v>
      </c>
      <c r="X33" s="16">
        <v>200000000</v>
      </c>
      <c r="Y33" s="16">
        <v>0</v>
      </c>
      <c r="Z33" s="16">
        <v>0</v>
      </c>
      <c r="AA33" s="16">
        <v>0</v>
      </c>
      <c r="AB33" s="16">
        <v>0</v>
      </c>
      <c r="AC33" s="16">
        <v>0</v>
      </c>
      <c r="AD33" s="16">
        <v>0</v>
      </c>
      <c r="AE33" s="17">
        <f t="shared" ref="AE33:AE34" si="7">SUM(Q33:AD33)</f>
        <v>489101814.25</v>
      </c>
      <c r="AF33" s="20">
        <v>0</v>
      </c>
      <c r="AG33" s="30">
        <v>0</v>
      </c>
      <c r="AH33" s="19">
        <v>0</v>
      </c>
      <c r="AI33" s="14">
        <f t="shared" si="2"/>
        <v>0</v>
      </c>
    </row>
    <row r="34" spans="1:35" s="8" customFormat="1" ht="105" x14ac:dyDescent="0.25">
      <c r="A34" s="8" t="s">
        <v>67</v>
      </c>
      <c r="B34" s="8" t="s">
        <v>76</v>
      </c>
      <c r="C34" s="9">
        <v>4001</v>
      </c>
      <c r="D34" s="8" t="s">
        <v>77</v>
      </c>
      <c r="E34" s="10">
        <v>4001041</v>
      </c>
      <c r="F34" s="10">
        <v>400104100</v>
      </c>
      <c r="G34" s="11" t="s">
        <v>319</v>
      </c>
      <c r="H34" s="12" t="s">
        <v>320</v>
      </c>
      <c r="I34" s="13">
        <v>100</v>
      </c>
      <c r="J34" s="13">
        <v>50</v>
      </c>
      <c r="K34" s="29">
        <v>0</v>
      </c>
      <c r="L34" s="14">
        <f t="shared" si="1"/>
        <v>0</v>
      </c>
      <c r="M34" s="2">
        <v>202600000011039</v>
      </c>
      <c r="N34" s="15" t="s">
        <v>367</v>
      </c>
      <c r="O34" s="4" t="s">
        <v>110</v>
      </c>
      <c r="P34" s="8" t="s">
        <v>321</v>
      </c>
      <c r="Q34" s="16">
        <v>0</v>
      </c>
      <c r="R34" s="16">
        <v>0</v>
      </c>
      <c r="S34" s="16">
        <v>0</v>
      </c>
      <c r="T34" s="16">
        <v>0</v>
      </c>
      <c r="U34" s="16">
        <v>0</v>
      </c>
      <c r="V34" s="16">
        <v>0</v>
      </c>
      <c r="W34" s="16">
        <v>0</v>
      </c>
      <c r="X34" s="16">
        <v>246759973</v>
      </c>
      <c r="Y34" s="16">
        <v>0</v>
      </c>
      <c r="Z34" s="16">
        <v>0</v>
      </c>
      <c r="AA34" s="16">
        <v>0</v>
      </c>
      <c r="AB34" s="16">
        <v>0</v>
      </c>
      <c r="AC34" s="16">
        <v>0</v>
      </c>
      <c r="AD34" s="16">
        <v>0</v>
      </c>
      <c r="AE34" s="17">
        <f t="shared" si="7"/>
        <v>246759973</v>
      </c>
      <c r="AF34" s="20">
        <v>0</v>
      </c>
      <c r="AG34" s="30">
        <v>0</v>
      </c>
      <c r="AH34" s="19">
        <v>0</v>
      </c>
      <c r="AI34" s="14">
        <f t="shared" si="2"/>
        <v>0</v>
      </c>
    </row>
    <row r="35" spans="1:35" s="8" customFormat="1" ht="75" x14ac:dyDescent="0.25">
      <c r="A35" s="8" t="s">
        <v>67</v>
      </c>
      <c r="B35" s="8" t="s">
        <v>76</v>
      </c>
      <c r="C35" s="9">
        <v>4003</v>
      </c>
      <c r="D35" s="8" t="s">
        <v>78</v>
      </c>
      <c r="E35" s="9" t="s">
        <v>250</v>
      </c>
      <c r="F35" s="10">
        <v>400301700</v>
      </c>
      <c r="G35" s="11" t="s">
        <v>140</v>
      </c>
      <c r="H35" s="12" t="s">
        <v>33</v>
      </c>
      <c r="I35" s="13">
        <v>10</v>
      </c>
      <c r="J35" s="13">
        <v>3</v>
      </c>
      <c r="K35" s="29">
        <v>0</v>
      </c>
      <c r="L35" s="14">
        <f t="shared" si="1"/>
        <v>0</v>
      </c>
      <c r="M35" s="2">
        <v>202500000048067</v>
      </c>
      <c r="N35" s="15" t="s">
        <v>368</v>
      </c>
      <c r="O35" s="4" t="s">
        <v>110</v>
      </c>
      <c r="P35" s="8" t="s">
        <v>197</v>
      </c>
      <c r="Q35" s="16">
        <v>84377489.599999994</v>
      </c>
      <c r="R35" s="16">
        <v>0</v>
      </c>
      <c r="S35" s="16">
        <v>844862801</v>
      </c>
      <c r="T35" s="16">
        <v>0</v>
      </c>
      <c r="U35" s="16">
        <v>0</v>
      </c>
      <c r="V35" s="16">
        <v>0</v>
      </c>
      <c r="W35" s="16">
        <v>271084048</v>
      </c>
      <c r="X35" s="16">
        <v>0</v>
      </c>
      <c r="Y35" s="16">
        <v>0</v>
      </c>
      <c r="Z35" s="16">
        <v>0</v>
      </c>
      <c r="AA35" s="16">
        <v>0</v>
      </c>
      <c r="AB35" s="16">
        <v>0</v>
      </c>
      <c r="AC35" s="16">
        <v>0</v>
      </c>
      <c r="AD35" s="16">
        <v>0</v>
      </c>
      <c r="AE35" s="17">
        <f t="shared" ref="AE35:AE47" si="8">SUM(Q35:AD35)</f>
        <v>1200324338.5999999</v>
      </c>
      <c r="AF35" s="20">
        <v>454792105</v>
      </c>
      <c r="AG35" s="30">
        <v>0</v>
      </c>
      <c r="AH35" s="19">
        <v>0</v>
      </c>
      <c r="AI35" s="14">
        <f t="shared" si="2"/>
        <v>0</v>
      </c>
    </row>
    <row r="36" spans="1:35" s="8" customFormat="1" ht="105" x14ac:dyDescent="0.25">
      <c r="A36" s="8" t="s">
        <v>67</v>
      </c>
      <c r="B36" s="8" t="s">
        <v>76</v>
      </c>
      <c r="C36" s="9">
        <v>4003</v>
      </c>
      <c r="D36" s="8" t="s">
        <v>78</v>
      </c>
      <c r="E36" s="9" t="s">
        <v>251</v>
      </c>
      <c r="F36" s="10">
        <v>400301900</v>
      </c>
      <c r="G36" s="11" t="s">
        <v>141</v>
      </c>
      <c r="H36" s="12" t="s">
        <v>34</v>
      </c>
      <c r="I36" s="13">
        <v>1</v>
      </c>
      <c r="J36" s="13">
        <v>1</v>
      </c>
      <c r="K36" s="29">
        <v>0</v>
      </c>
      <c r="L36" s="14">
        <f t="shared" si="1"/>
        <v>0</v>
      </c>
      <c r="M36" s="2">
        <v>202500000048118</v>
      </c>
      <c r="N36" s="15" t="s">
        <v>369</v>
      </c>
      <c r="O36" s="4" t="s">
        <v>110</v>
      </c>
      <c r="P36" s="8" t="s">
        <v>198</v>
      </c>
      <c r="Q36" s="16">
        <v>130000000</v>
      </c>
      <c r="R36" s="16">
        <v>0</v>
      </c>
      <c r="S36" s="16">
        <v>0</v>
      </c>
      <c r="T36" s="16">
        <v>0</v>
      </c>
      <c r="U36" s="16">
        <v>0</v>
      </c>
      <c r="V36" s="16">
        <v>0</v>
      </c>
      <c r="W36" s="16">
        <v>0</v>
      </c>
      <c r="X36" s="16">
        <v>0</v>
      </c>
      <c r="Y36" s="16">
        <v>0</v>
      </c>
      <c r="Z36" s="16">
        <v>0</v>
      </c>
      <c r="AA36" s="16">
        <v>0</v>
      </c>
      <c r="AB36" s="16">
        <v>0</v>
      </c>
      <c r="AC36" s="16">
        <v>0</v>
      </c>
      <c r="AD36" s="16">
        <v>0</v>
      </c>
      <c r="AE36" s="17">
        <f t="shared" si="8"/>
        <v>130000000</v>
      </c>
      <c r="AF36" s="20">
        <v>0</v>
      </c>
      <c r="AG36" s="30">
        <v>0</v>
      </c>
      <c r="AH36" s="19">
        <v>0</v>
      </c>
      <c r="AI36" s="14">
        <f t="shared" si="2"/>
        <v>0</v>
      </c>
    </row>
    <row r="37" spans="1:35" s="8" customFormat="1" ht="105" x14ac:dyDescent="0.25">
      <c r="A37" s="8" t="s">
        <v>67</v>
      </c>
      <c r="B37" s="8" t="s">
        <v>76</v>
      </c>
      <c r="C37" s="9">
        <v>4003</v>
      </c>
      <c r="D37" s="8" t="s">
        <v>78</v>
      </c>
      <c r="E37" s="9">
        <v>4003020</v>
      </c>
      <c r="F37" s="10">
        <v>400302000</v>
      </c>
      <c r="G37" s="11" t="s">
        <v>303</v>
      </c>
      <c r="H37" s="12" t="s">
        <v>304</v>
      </c>
      <c r="I37" s="13">
        <v>1</v>
      </c>
      <c r="J37" s="13">
        <v>1</v>
      </c>
      <c r="K37" s="29">
        <v>0</v>
      </c>
      <c r="L37" s="14">
        <f t="shared" si="1"/>
        <v>0</v>
      </c>
      <c r="M37" s="2">
        <v>202500000048094</v>
      </c>
      <c r="N37" s="15" t="s">
        <v>370</v>
      </c>
      <c r="O37" s="4" t="s">
        <v>110</v>
      </c>
      <c r="P37" s="8" t="s">
        <v>305</v>
      </c>
      <c r="Q37" s="16">
        <v>0</v>
      </c>
      <c r="R37" s="16">
        <v>0</v>
      </c>
      <c r="S37" s="16">
        <v>836704346.84000003</v>
      </c>
      <c r="T37" s="16">
        <v>0</v>
      </c>
      <c r="U37" s="16">
        <v>0</v>
      </c>
      <c r="V37" s="16">
        <v>0</v>
      </c>
      <c r="W37" s="16">
        <v>271286794</v>
      </c>
      <c r="X37" s="16">
        <v>0</v>
      </c>
      <c r="Y37" s="16">
        <v>0</v>
      </c>
      <c r="Z37" s="16">
        <v>0</v>
      </c>
      <c r="AA37" s="16">
        <v>0</v>
      </c>
      <c r="AB37" s="16">
        <v>0</v>
      </c>
      <c r="AC37" s="16">
        <v>0</v>
      </c>
      <c r="AD37" s="16">
        <v>0</v>
      </c>
      <c r="AE37" s="17">
        <f t="shared" ref="AE37" si="9">SUM(Q37:AD37)</f>
        <v>1107991140.8400002</v>
      </c>
      <c r="AF37" s="20">
        <v>545207895</v>
      </c>
      <c r="AG37" s="30">
        <v>0</v>
      </c>
      <c r="AH37" s="19">
        <v>0</v>
      </c>
      <c r="AI37" s="14">
        <f t="shared" si="2"/>
        <v>0</v>
      </c>
    </row>
    <row r="38" spans="1:35" s="8" customFormat="1" ht="90" x14ac:dyDescent="0.25">
      <c r="A38" s="8" t="s">
        <v>67</v>
      </c>
      <c r="B38" s="8" t="s">
        <v>76</v>
      </c>
      <c r="C38" s="9"/>
      <c r="D38" s="8" t="s">
        <v>78</v>
      </c>
      <c r="E38" s="9" t="s">
        <v>301</v>
      </c>
      <c r="F38" s="10">
        <v>400301600</v>
      </c>
      <c r="G38" s="11" t="s">
        <v>300</v>
      </c>
      <c r="H38" s="12" t="s">
        <v>300</v>
      </c>
      <c r="I38" s="13">
        <v>1</v>
      </c>
      <c r="J38" s="13">
        <v>1</v>
      </c>
      <c r="K38" s="29">
        <v>0</v>
      </c>
      <c r="L38" s="14">
        <f t="shared" si="1"/>
        <v>0</v>
      </c>
      <c r="M38" s="2">
        <v>202500000048135</v>
      </c>
      <c r="N38" s="15" t="s">
        <v>371</v>
      </c>
      <c r="O38" s="4" t="s">
        <v>110</v>
      </c>
      <c r="P38" s="8" t="s">
        <v>302</v>
      </c>
      <c r="Q38" s="16">
        <v>0</v>
      </c>
      <c r="R38" s="16">
        <v>0</v>
      </c>
      <c r="S38" s="16">
        <v>0</v>
      </c>
      <c r="T38" s="16">
        <v>0</v>
      </c>
      <c r="U38" s="16">
        <v>0</v>
      </c>
      <c r="V38" s="16">
        <v>0</v>
      </c>
      <c r="W38" s="16">
        <v>0</v>
      </c>
      <c r="X38" s="16">
        <v>0</v>
      </c>
      <c r="Y38" s="16">
        <v>0</v>
      </c>
      <c r="Z38" s="16">
        <v>0</v>
      </c>
      <c r="AA38" s="16">
        <v>0</v>
      </c>
      <c r="AB38" s="16">
        <v>0</v>
      </c>
      <c r="AC38" s="16">
        <v>0</v>
      </c>
      <c r="AD38" s="16">
        <v>0</v>
      </c>
      <c r="AE38" s="17">
        <f t="shared" ref="AE38" si="10">SUM(Q38:AD38)</f>
        <v>0</v>
      </c>
      <c r="AF38" s="20">
        <v>0</v>
      </c>
      <c r="AG38" s="30">
        <v>0</v>
      </c>
      <c r="AH38" s="19">
        <v>0</v>
      </c>
      <c r="AI38" s="14">
        <v>1</v>
      </c>
    </row>
    <row r="39" spans="1:35" s="8" customFormat="1" ht="150" x14ac:dyDescent="0.25">
      <c r="A39" s="8" t="s">
        <v>67</v>
      </c>
      <c r="B39" s="8" t="s">
        <v>76</v>
      </c>
      <c r="C39" s="9"/>
      <c r="D39" s="8" t="s">
        <v>78</v>
      </c>
      <c r="E39" s="9">
        <v>4003025</v>
      </c>
      <c r="F39" s="10">
        <v>400302500</v>
      </c>
      <c r="G39" s="11" t="s">
        <v>306</v>
      </c>
      <c r="H39" s="12" t="s">
        <v>307</v>
      </c>
      <c r="I39" s="13">
        <v>1</v>
      </c>
      <c r="J39" s="13">
        <v>1</v>
      </c>
      <c r="K39" s="29">
        <v>0</v>
      </c>
      <c r="L39" s="14">
        <f t="shared" si="1"/>
        <v>0</v>
      </c>
      <c r="M39" s="2">
        <v>202500000048185</v>
      </c>
      <c r="N39" s="15" t="s">
        <v>372</v>
      </c>
      <c r="O39" s="4" t="s">
        <v>110</v>
      </c>
      <c r="P39" s="12" t="s">
        <v>307</v>
      </c>
      <c r="Q39" s="16">
        <v>0</v>
      </c>
      <c r="R39" s="16">
        <v>0</v>
      </c>
      <c r="S39" s="16">
        <v>926911245</v>
      </c>
      <c r="T39" s="16">
        <v>0</v>
      </c>
      <c r="U39" s="16">
        <v>0</v>
      </c>
      <c r="V39" s="16">
        <v>0</v>
      </c>
      <c r="W39" s="16">
        <v>0</v>
      </c>
      <c r="X39" s="16">
        <v>0</v>
      </c>
      <c r="Y39" s="16">
        <v>0</v>
      </c>
      <c r="Z39" s="16">
        <v>0</v>
      </c>
      <c r="AA39" s="16">
        <v>0</v>
      </c>
      <c r="AB39" s="16">
        <v>0</v>
      </c>
      <c r="AC39" s="16">
        <v>0</v>
      </c>
      <c r="AD39" s="16">
        <v>0</v>
      </c>
      <c r="AE39" s="17">
        <f t="shared" ref="AE39" si="11">SUM(Q39:AD39)</f>
        <v>926911245</v>
      </c>
      <c r="AF39" s="20">
        <v>845294273</v>
      </c>
      <c r="AG39" s="30">
        <v>0</v>
      </c>
      <c r="AH39" s="19">
        <v>0</v>
      </c>
      <c r="AI39" s="14">
        <f t="shared" si="2"/>
        <v>0</v>
      </c>
    </row>
    <row r="40" spans="1:35" s="8" customFormat="1" ht="135" x14ac:dyDescent="0.25">
      <c r="A40" s="8" t="s">
        <v>67</v>
      </c>
      <c r="B40" s="8" t="s">
        <v>76</v>
      </c>
      <c r="C40" s="9">
        <v>4003</v>
      </c>
      <c r="D40" s="8" t="s">
        <v>78</v>
      </c>
      <c r="E40" s="9" t="s">
        <v>252</v>
      </c>
      <c r="F40" s="10">
        <v>400304700</v>
      </c>
      <c r="G40" s="11" t="s">
        <v>142</v>
      </c>
      <c r="H40" s="12" t="s">
        <v>35</v>
      </c>
      <c r="I40" s="13">
        <v>7000</v>
      </c>
      <c r="J40" s="13">
        <v>1800</v>
      </c>
      <c r="K40" s="29">
        <v>0</v>
      </c>
      <c r="L40" s="14">
        <f t="shared" si="1"/>
        <v>0</v>
      </c>
      <c r="M40" s="2">
        <v>202500000048180</v>
      </c>
      <c r="N40" s="15" t="s">
        <v>373</v>
      </c>
      <c r="O40" s="4" t="s">
        <v>110</v>
      </c>
      <c r="P40" s="8" t="s">
        <v>199</v>
      </c>
      <c r="Q40" s="16">
        <v>0</v>
      </c>
      <c r="R40" s="16">
        <v>0</v>
      </c>
      <c r="S40" s="16">
        <v>866511812</v>
      </c>
      <c r="T40" s="16">
        <v>0</v>
      </c>
      <c r="U40" s="16">
        <v>0</v>
      </c>
      <c r="V40" s="16">
        <v>0</v>
      </c>
      <c r="W40" s="16">
        <v>0</v>
      </c>
      <c r="X40" s="16">
        <v>0</v>
      </c>
      <c r="Y40" s="16">
        <v>0</v>
      </c>
      <c r="Z40" s="16">
        <v>0</v>
      </c>
      <c r="AA40" s="16">
        <v>0</v>
      </c>
      <c r="AB40" s="16">
        <v>0</v>
      </c>
      <c r="AC40" s="16">
        <v>0</v>
      </c>
      <c r="AD40" s="16">
        <v>0</v>
      </c>
      <c r="AE40" s="17">
        <f t="shared" si="8"/>
        <v>866511812</v>
      </c>
      <c r="AF40" s="20">
        <v>824511812</v>
      </c>
      <c r="AG40" s="30">
        <v>251451885</v>
      </c>
      <c r="AH40" s="19">
        <v>251451885</v>
      </c>
      <c r="AI40" s="14">
        <f t="shared" si="2"/>
        <v>0.2901886408445174</v>
      </c>
    </row>
    <row r="41" spans="1:35" s="8" customFormat="1" ht="90" x14ac:dyDescent="0.25">
      <c r="A41" s="8" t="s">
        <v>68</v>
      </c>
      <c r="B41" s="8" t="s">
        <v>79</v>
      </c>
      <c r="C41" s="9">
        <v>3201</v>
      </c>
      <c r="D41" s="8" t="s">
        <v>80</v>
      </c>
      <c r="E41" s="9" t="s">
        <v>253</v>
      </c>
      <c r="F41" s="10">
        <v>320100300</v>
      </c>
      <c r="G41" s="11" t="s">
        <v>162</v>
      </c>
      <c r="H41" s="12" t="s">
        <v>36</v>
      </c>
      <c r="I41" s="13">
        <v>10</v>
      </c>
      <c r="J41" s="13">
        <v>10</v>
      </c>
      <c r="K41" s="29">
        <v>0</v>
      </c>
      <c r="L41" s="14">
        <f t="shared" si="1"/>
        <v>0</v>
      </c>
      <c r="M41" s="15">
        <v>202500000047779</v>
      </c>
      <c r="N41" s="15" t="s">
        <v>374</v>
      </c>
      <c r="O41" s="15" t="s">
        <v>109</v>
      </c>
      <c r="P41" s="8" t="s">
        <v>163</v>
      </c>
      <c r="Q41" s="16">
        <v>20000000</v>
      </c>
      <c r="R41" s="16">
        <v>0</v>
      </c>
      <c r="S41" s="16">
        <v>0</v>
      </c>
      <c r="T41" s="16">
        <v>0</v>
      </c>
      <c r="U41" s="16">
        <v>0</v>
      </c>
      <c r="V41" s="16">
        <v>0</v>
      </c>
      <c r="W41" s="16">
        <v>0</v>
      </c>
      <c r="X41" s="16">
        <v>0</v>
      </c>
      <c r="Y41" s="16">
        <v>0</v>
      </c>
      <c r="Z41" s="16">
        <v>0</v>
      </c>
      <c r="AA41" s="16">
        <v>0</v>
      </c>
      <c r="AB41" s="16">
        <v>0</v>
      </c>
      <c r="AC41" s="16">
        <v>0</v>
      </c>
      <c r="AD41" s="16">
        <v>0</v>
      </c>
      <c r="AE41" s="17">
        <f t="shared" si="8"/>
        <v>20000000</v>
      </c>
      <c r="AF41" s="20">
        <v>20000000</v>
      </c>
      <c r="AG41" s="30">
        <v>0</v>
      </c>
      <c r="AH41" s="19">
        <v>0</v>
      </c>
      <c r="AI41" s="14">
        <f t="shared" si="2"/>
        <v>0</v>
      </c>
    </row>
    <row r="42" spans="1:35" s="8" customFormat="1" ht="120" x14ac:dyDescent="0.25">
      <c r="A42" s="8" t="s">
        <v>68</v>
      </c>
      <c r="B42" s="8" t="s">
        <v>79</v>
      </c>
      <c r="C42" s="9">
        <v>3202</v>
      </c>
      <c r="D42" s="8" t="s">
        <v>81</v>
      </c>
      <c r="E42" s="9" t="s">
        <v>254</v>
      </c>
      <c r="F42" s="10">
        <v>320200400</v>
      </c>
      <c r="G42" s="11" t="s">
        <v>143</v>
      </c>
      <c r="H42" s="12" t="s">
        <v>164</v>
      </c>
      <c r="I42" s="13">
        <v>1</v>
      </c>
      <c r="J42" s="13">
        <v>1</v>
      </c>
      <c r="K42" s="29">
        <v>0</v>
      </c>
      <c r="L42" s="14">
        <f t="shared" si="1"/>
        <v>0</v>
      </c>
      <c r="M42" s="15">
        <v>202500000047730</v>
      </c>
      <c r="N42" s="15" t="s">
        <v>375</v>
      </c>
      <c r="O42" s="15" t="s">
        <v>109</v>
      </c>
      <c r="P42" s="8" t="s">
        <v>165</v>
      </c>
      <c r="Q42" s="16">
        <v>0</v>
      </c>
      <c r="R42" s="16">
        <v>0</v>
      </c>
      <c r="S42" s="16">
        <v>0</v>
      </c>
      <c r="T42" s="16">
        <v>0</v>
      </c>
      <c r="U42" s="16">
        <v>0</v>
      </c>
      <c r="V42" s="16">
        <v>0</v>
      </c>
      <c r="W42" s="16">
        <v>0</v>
      </c>
      <c r="X42" s="16">
        <v>42000000</v>
      </c>
      <c r="Y42" s="16">
        <v>0</v>
      </c>
      <c r="Z42" s="16">
        <v>0</v>
      </c>
      <c r="AA42" s="16">
        <v>0</v>
      </c>
      <c r="AB42" s="16">
        <v>0</v>
      </c>
      <c r="AC42" s="16">
        <v>0</v>
      </c>
      <c r="AD42" s="16">
        <v>0</v>
      </c>
      <c r="AE42" s="17">
        <f t="shared" si="8"/>
        <v>42000000</v>
      </c>
      <c r="AF42" s="20">
        <v>0</v>
      </c>
      <c r="AG42" s="30">
        <v>0</v>
      </c>
      <c r="AH42" s="19">
        <v>0</v>
      </c>
      <c r="AI42" s="14">
        <f t="shared" si="2"/>
        <v>0</v>
      </c>
    </row>
    <row r="43" spans="1:35" s="8" customFormat="1" ht="135" x14ac:dyDescent="0.25">
      <c r="A43" s="8" t="s">
        <v>68</v>
      </c>
      <c r="B43" s="8" t="s">
        <v>79</v>
      </c>
      <c r="C43" s="9">
        <v>3202</v>
      </c>
      <c r="D43" s="8" t="s">
        <v>81</v>
      </c>
      <c r="E43" s="9" t="s">
        <v>255</v>
      </c>
      <c r="F43" s="10">
        <v>320204100</v>
      </c>
      <c r="G43" s="11" t="s">
        <v>144</v>
      </c>
      <c r="H43" s="12" t="s">
        <v>37</v>
      </c>
      <c r="I43" s="13">
        <v>10000</v>
      </c>
      <c r="J43" s="13">
        <v>2500</v>
      </c>
      <c r="K43" s="29">
        <v>0</v>
      </c>
      <c r="L43" s="14">
        <f t="shared" si="1"/>
        <v>0</v>
      </c>
      <c r="M43" s="15">
        <v>202500000047751</v>
      </c>
      <c r="N43" s="15" t="s">
        <v>376</v>
      </c>
      <c r="O43" s="15" t="s">
        <v>109</v>
      </c>
      <c r="P43" s="8" t="s">
        <v>166</v>
      </c>
      <c r="Q43" s="16">
        <v>0</v>
      </c>
      <c r="R43" s="16">
        <v>0</v>
      </c>
      <c r="S43" s="16">
        <v>0</v>
      </c>
      <c r="T43" s="16">
        <v>0</v>
      </c>
      <c r="U43" s="16">
        <v>0</v>
      </c>
      <c r="V43" s="16">
        <v>0</v>
      </c>
      <c r="W43" s="16">
        <v>0</v>
      </c>
      <c r="X43" s="16">
        <v>80000000</v>
      </c>
      <c r="Y43" s="16">
        <v>0</v>
      </c>
      <c r="Z43" s="16">
        <v>0</v>
      </c>
      <c r="AA43" s="16">
        <v>0</v>
      </c>
      <c r="AB43" s="16">
        <v>0</v>
      </c>
      <c r="AC43" s="16">
        <v>0</v>
      </c>
      <c r="AD43" s="16">
        <v>0</v>
      </c>
      <c r="AE43" s="17">
        <f t="shared" si="8"/>
        <v>80000000</v>
      </c>
      <c r="AF43" s="20">
        <v>24000000</v>
      </c>
      <c r="AG43" s="30">
        <v>0</v>
      </c>
      <c r="AH43" s="19">
        <v>0</v>
      </c>
      <c r="AI43" s="14">
        <f t="shared" si="2"/>
        <v>0</v>
      </c>
    </row>
    <row r="44" spans="1:35" s="8" customFormat="1" ht="90" x14ac:dyDescent="0.25">
      <c r="A44" s="8" t="s">
        <v>68</v>
      </c>
      <c r="B44" s="8" t="s">
        <v>79</v>
      </c>
      <c r="C44" s="9">
        <v>3203</v>
      </c>
      <c r="D44" s="8" t="s">
        <v>82</v>
      </c>
      <c r="E44" s="9" t="s">
        <v>256</v>
      </c>
      <c r="F44" s="10">
        <v>320305000</v>
      </c>
      <c r="G44" s="11" t="s">
        <v>145</v>
      </c>
      <c r="H44" s="12" t="s">
        <v>38</v>
      </c>
      <c r="I44" s="13">
        <v>100</v>
      </c>
      <c r="J44" s="13">
        <v>100</v>
      </c>
      <c r="K44" s="29">
        <v>0</v>
      </c>
      <c r="L44" s="14">
        <f t="shared" si="1"/>
        <v>0</v>
      </c>
      <c r="M44" s="15">
        <v>202500000047795</v>
      </c>
      <c r="N44" s="15" t="s">
        <v>377</v>
      </c>
      <c r="O44" s="15" t="s">
        <v>109</v>
      </c>
      <c r="P44" s="8" t="s">
        <v>297</v>
      </c>
      <c r="Q44" s="16">
        <v>222914843</v>
      </c>
      <c r="R44" s="16">
        <v>0</v>
      </c>
      <c r="S44" s="16">
        <v>0</v>
      </c>
      <c r="T44" s="16">
        <v>0</v>
      </c>
      <c r="U44" s="16">
        <v>0</v>
      </c>
      <c r="V44" s="16">
        <v>0</v>
      </c>
      <c r="W44" s="16">
        <v>13808405</v>
      </c>
      <c r="X44" s="16">
        <v>40000000</v>
      </c>
      <c r="Y44" s="16">
        <v>0</v>
      </c>
      <c r="Z44" s="16">
        <v>0</v>
      </c>
      <c r="AA44" s="16">
        <v>0</v>
      </c>
      <c r="AB44" s="16">
        <v>0</v>
      </c>
      <c r="AC44" s="16">
        <v>0</v>
      </c>
      <c r="AD44" s="16">
        <v>0</v>
      </c>
      <c r="AE44" s="17">
        <f t="shared" si="8"/>
        <v>276723248</v>
      </c>
      <c r="AF44" s="20">
        <v>0</v>
      </c>
      <c r="AG44" s="30">
        <v>0</v>
      </c>
      <c r="AH44" s="19">
        <v>0</v>
      </c>
      <c r="AI44" s="14">
        <f t="shared" si="2"/>
        <v>0</v>
      </c>
    </row>
    <row r="45" spans="1:35" s="8" customFormat="1" ht="105" x14ac:dyDescent="0.25">
      <c r="A45" s="8" t="s">
        <v>68</v>
      </c>
      <c r="B45" s="8" t="s">
        <v>79</v>
      </c>
      <c r="C45" s="9">
        <v>3208</v>
      </c>
      <c r="D45" s="8" t="s">
        <v>83</v>
      </c>
      <c r="E45" s="9" t="s">
        <v>257</v>
      </c>
      <c r="F45" s="10">
        <v>320801000</v>
      </c>
      <c r="G45" s="11" t="s">
        <v>167</v>
      </c>
      <c r="H45" s="12" t="s">
        <v>39</v>
      </c>
      <c r="I45" s="13">
        <v>4000</v>
      </c>
      <c r="J45" s="13">
        <v>1333</v>
      </c>
      <c r="K45" s="29">
        <v>0</v>
      </c>
      <c r="L45" s="14">
        <f t="shared" si="1"/>
        <v>0</v>
      </c>
      <c r="M45" s="15">
        <v>202500000047762</v>
      </c>
      <c r="N45" s="15" t="s">
        <v>378</v>
      </c>
      <c r="O45" s="15" t="s">
        <v>109</v>
      </c>
      <c r="P45" s="8" t="s">
        <v>168</v>
      </c>
      <c r="Q45" s="16">
        <v>0</v>
      </c>
      <c r="R45" s="16">
        <v>0</v>
      </c>
      <c r="S45" s="16">
        <v>0</v>
      </c>
      <c r="T45" s="16">
        <v>0</v>
      </c>
      <c r="U45" s="16">
        <v>0</v>
      </c>
      <c r="V45" s="16">
        <v>0</v>
      </c>
      <c r="W45" s="16">
        <v>0</v>
      </c>
      <c r="X45" s="16">
        <f>170000000+50000000</f>
        <v>220000000</v>
      </c>
      <c r="Y45" s="16">
        <v>0</v>
      </c>
      <c r="Z45" s="16">
        <v>0</v>
      </c>
      <c r="AA45" s="16">
        <v>0</v>
      </c>
      <c r="AB45" s="16">
        <v>0</v>
      </c>
      <c r="AC45" s="16">
        <v>0</v>
      </c>
      <c r="AD45" s="16">
        <v>1016990.55</v>
      </c>
      <c r="AE45" s="17">
        <f t="shared" si="8"/>
        <v>221016990.55000001</v>
      </c>
      <c r="AF45" s="20">
        <v>92400996</v>
      </c>
      <c r="AG45" s="30">
        <v>19170996</v>
      </c>
      <c r="AH45" s="19">
        <v>19170996</v>
      </c>
      <c r="AI45" s="14">
        <f t="shared" si="2"/>
        <v>8.6739919642797786E-2</v>
      </c>
    </row>
    <row r="46" spans="1:35" s="8" customFormat="1" ht="135" x14ac:dyDescent="0.25">
      <c r="A46" s="8" t="s">
        <v>69</v>
      </c>
      <c r="B46" s="8" t="s">
        <v>84</v>
      </c>
      <c r="C46" s="9">
        <v>2102</v>
      </c>
      <c r="D46" s="8" t="s">
        <v>85</v>
      </c>
      <c r="E46" s="9" t="s">
        <v>258</v>
      </c>
      <c r="F46" s="10">
        <v>210201300</v>
      </c>
      <c r="G46" s="11" t="s">
        <v>146</v>
      </c>
      <c r="H46" s="12" t="s">
        <v>40</v>
      </c>
      <c r="I46" s="13">
        <v>2000</v>
      </c>
      <c r="J46" s="13">
        <f>+I46/4</f>
        <v>500</v>
      </c>
      <c r="K46" s="29">
        <v>0</v>
      </c>
      <c r="L46" s="14">
        <f t="shared" si="1"/>
        <v>0</v>
      </c>
      <c r="M46" s="15">
        <v>202500000047493</v>
      </c>
      <c r="N46" s="15" t="s">
        <v>379</v>
      </c>
      <c r="O46" s="15" t="s">
        <v>110</v>
      </c>
      <c r="P46" s="8" t="s">
        <v>200</v>
      </c>
      <c r="Q46" s="16">
        <f>200000000+113138458.94</f>
        <v>313138458.94</v>
      </c>
      <c r="R46" s="16">
        <v>0</v>
      </c>
      <c r="S46" s="16">
        <v>0</v>
      </c>
      <c r="T46" s="16">
        <v>0</v>
      </c>
      <c r="U46" s="16">
        <v>0</v>
      </c>
      <c r="V46" s="16">
        <v>0</v>
      </c>
      <c r="W46" s="16">
        <v>0</v>
      </c>
      <c r="X46" s="16">
        <v>0</v>
      </c>
      <c r="Y46" s="16">
        <v>0</v>
      </c>
      <c r="Z46" s="16">
        <v>0</v>
      </c>
      <c r="AA46" s="16">
        <v>0</v>
      </c>
      <c r="AB46" s="16">
        <v>0</v>
      </c>
      <c r="AC46" s="16">
        <v>0</v>
      </c>
      <c r="AD46" s="16">
        <v>0</v>
      </c>
      <c r="AE46" s="17">
        <f t="shared" si="8"/>
        <v>313138458.94</v>
      </c>
      <c r="AF46" s="20">
        <v>0</v>
      </c>
      <c r="AG46" s="30">
        <v>0</v>
      </c>
      <c r="AH46" s="19">
        <v>0</v>
      </c>
      <c r="AI46" s="14">
        <f t="shared" si="2"/>
        <v>0</v>
      </c>
    </row>
    <row r="47" spans="1:35" s="8" customFormat="1" ht="120" x14ac:dyDescent="0.25">
      <c r="A47" s="8" t="s">
        <v>69</v>
      </c>
      <c r="B47" s="8" t="s">
        <v>84</v>
      </c>
      <c r="C47" s="9">
        <v>2104</v>
      </c>
      <c r="D47" s="8" t="s">
        <v>86</v>
      </c>
      <c r="E47" s="9" t="s">
        <v>259</v>
      </c>
      <c r="F47" s="10">
        <v>210401002</v>
      </c>
      <c r="G47" s="11" t="s">
        <v>147</v>
      </c>
      <c r="H47" s="12" t="s">
        <v>41</v>
      </c>
      <c r="I47" s="13">
        <v>200</v>
      </c>
      <c r="J47" s="13">
        <v>50</v>
      </c>
      <c r="K47" s="29">
        <v>0</v>
      </c>
      <c r="L47" s="14">
        <f t="shared" si="1"/>
        <v>0</v>
      </c>
      <c r="M47" s="15">
        <v>202500000047498</v>
      </c>
      <c r="N47" s="15" t="s">
        <v>380</v>
      </c>
      <c r="O47" s="15" t="s">
        <v>109</v>
      </c>
      <c r="P47" s="8" t="s">
        <v>169</v>
      </c>
      <c r="Q47" s="16">
        <v>20000000</v>
      </c>
      <c r="R47" s="16">
        <v>0</v>
      </c>
      <c r="S47" s="16">
        <v>0</v>
      </c>
      <c r="T47" s="16">
        <v>0</v>
      </c>
      <c r="U47" s="16">
        <v>0</v>
      </c>
      <c r="V47" s="16">
        <v>0</v>
      </c>
      <c r="W47" s="16">
        <v>0</v>
      </c>
      <c r="X47" s="16">
        <v>20000000</v>
      </c>
      <c r="Y47" s="16">
        <v>0</v>
      </c>
      <c r="Z47" s="16">
        <v>0</v>
      </c>
      <c r="AA47" s="16">
        <v>0</v>
      </c>
      <c r="AB47" s="16">
        <v>0</v>
      </c>
      <c r="AC47" s="16">
        <v>0</v>
      </c>
      <c r="AD47" s="16">
        <v>0</v>
      </c>
      <c r="AE47" s="17">
        <f t="shared" si="8"/>
        <v>40000000</v>
      </c>
      <c r="AF47" s="20">
        <v>10995000</v>
      </c>
      <c r="AG47" s="30">
        <v>5497500</v>
      </c>
      <c r="AH47" s="19">
        <v>5497500</v>
      </c>
      <c r="AI47" s="14">
        <f t="shared" si="2"/>
        <v>0.13743749999999999</v>
      </c>
    </row>
    <row r="48" spans="1:35" s="8" customFormat="1" ht="105" x14ac:dyDescent="0.25">
      <c r="A48" s="8" t="s">
        <v>69</v>
      </c>
      <c r="B48" s="8" t="s">
        <v>84</v>
      </c>
      <c r="C48" s="9">
        <v>2104</v>
      </c>
      <c r="D48" s="8" t="s">
        <v>86</v>
      </c>
      <c r="E48" s="9" t="s">
        <v>260</v>
      </c>
      <c r="F48" s="10">
        <v>210401800</v>
      </c>
      <c r="G48" s="11" t="s">
        <v>148</v>
      </c>
      <c r="H48" s="12" t="s">
        <v>42</v>
      </c>
      <c r="I48" s="13">
        <v>4</v>
      </c>
      <c r="J48" s="13">
        <v>1</v>
      </c>
      <c r="K48" s="29">
        <v>0</v>
      </c>
      <c r="L48" s="14">
        <f t="shared" si="1"/>
        <v>0</v>
      </c>
      <c r="M48" s="15">
        <v>202500000047506</v>
      </c>
      <c r="N48" s="15" t="s">
        <v>381</v>
      </c>
      <c r="O48" s="15" t="s">
        <v>109</v>
      </c>
      <c r="P48" s="8" t="s">
        <v>224</v>
      </c>
      <c r="Q48" s="16">
        <v>20000000</v>
      </c>
      <c r="R48" s="16">
        <v>0</v>
      </c>
      <c r="S48" s="16">
        <v>0</v>
      </c>
      <c r="T48" s="16">
        <v>0</v>
      </c>
      <c r="U48" s="16">
        <v>0</v>
      </c>
      <c r="V48" s="16">
        <v>0</v>
      </c>
      <c r="W48" s="16">
        <v>0</v>
      </c>
      <c r="X48" s="16">
        <v>0</v>
      </c>
      <c r="Y48" s="16">
        <v>0</v>
      </c>
      <c r="Z48" s="16">
        <v>0</v>
      </c>
      <c r="AA48" s="16">
        <v>0</v>
      </c>
      <c r="AB48" s="16">
        <v>0</v>
      </c>
      <c r="AC48" s="16">
        <v>0</v>
      </c>
      <c r="AD48" s="16">
        <v>0</v>
      </c>
      <c r="AE48" s="17">
        <f t="shared" ref="AE48:AE60" si="12">SUM(Q48:AD48)</f>
        <v>20000000</v>
      </c>
      <c r="AF48" s="20">
        <v>10995000</v>
      </c>
      <c r="AG48" s="30">
        <v>5497500</v>
      </c>
      <c r="AH48" s="19">
        <v>5497500</v>
      </c>
      <c r="AI48" s="14">
        <f t="shared" si="2"/>
        <v>0.27487499999999998</v>
      </c>
    </row>
    <row r="49" spans="1:35" s="8" customFormat="1" ht="75" x14ac:dyDescent="0.25">
      <c r="A49" s="8" t="s">
        <v>69</v>
      </c>
      <c r="B49" s="8" t="s">
        <v>87</v>
      </c>
      <c r="C49" s="9">
        <v>2402</v>
      </c>
      <c r="D49" s="8" t="s">
        <v>88</v>
      </c>
      <c r="E49" s="9" t="s">
        <v>261</v>
      </c>
      <c r="F49" s="10">
        <v>240204200</v>
      </c>
      <c r="G49" s="11" t="s">
        <v>149</v>
      </c>
      <c r="H49" s="12" t="s">
        <v>43</v>
      </c>
      <c r="I49" s="13">
        <v>4000</v>
      </c>
      <c r="J49" s="13">
        <v>2000</v>
      </c>
      <c r="K49" s="29">
        <v>0</v>
      </c>
      <c r="L49" s="14">
        <f t="shared" si="1"/>
        <v>0</v>
      </c>
      <c r="M49" s="15">
        <v>202600000006597</v>
      </c>
      <c r="N49" s="15" t="s">
        <v>382</v>
      </c>
      <c r="O49" s="15" t="s">
        <v>110</v>
      </c>
      <c r="P49" s="8" t="s">
        <v>201</v>
      </c>
      <c r="Q49" s="16">
        <v>1800000000</v>
      </c>
      <c r="R49" s="16">
        <v>0</v>
      </c>
      <c r="S49" s="16">
        <v>0</v>
      </c>
      <c r="T49" s="16">
        <v>0</v>
      </c>
      <c r="U49" s="16">
        <v>0</v>
      </c>
      <c r="V49" s="16">
        <v>0</v>
      </c>
      <c r="W49" s="16">
        <v>0</v>
      </c>
      <c r="X49" s="16">
        <v>705450000</v>
      </c>
      <c r="Y49" s="16">
        <v>0</v>
      </c>
      <c r="Z49" s="16">
        <v>0</v>
      </c>
      <c r="AA49" s="16">
        <v>0</v>
      </c>
      <c r="AB49" s="16">
        <v>0</v>
      </c>
      <c r="AC49" s="16">
        <v>0</v>
      </c>
      <c r="AD49" s="16">
        <v>0</v>
      </c>
      <c r="AE49" s="17">
        <f t="shared" si="12"/>
        <v>2505450000</v>
      </c>
      <c r="AF49" s="20">
        <v>2498701170</v>
      </c>
      <c r="AG49" s="30">
        <v>884948822</v>
      </c>
      <c r="AH49" s="19">
        <v>0</v>
      </c>
      <c r="AI49" s="14">
        <f t="shared" si="2"/>
        <v>0</v>
      </c>
    </row>
    <row r="50" spans="1:35" s="8" customFormat="1" ht="75" x14ac:dyDescent="0.25">
      <c r="A50" s="8" t="s">
        <v>69</v>
      </c>
      <c r="B50" s="8" t="s">
        <v>87</v>
      </c>
      <c r="C50" s="9">
        <v>2402</v>
      </c>
      <c r="D50" s="8" t="s">
        <v>88</v>
      </c>
      <c r="E50" s="9" t="s">
        <v>262</v>
      </c>
      <c r="F50" s="10">
        <v>240204800</v>
      </c>
      <c r="G50" s="11" t="s">
        <v>150</v>
      </c>
      <c r="H50" s="12" t="s">
        <v>44</v>
      </c>
      <c r="I50" s="13">
        <v>6</v>
      </c>
      <c r="J50" s="13">
        <v>2</v>
      </c>
      <c r="K50" s="29">
        <v>0</v>
      </c>
      <c r="L50" s="14">
        <f t="shared" si="1"/>
        <v>0</v>
      </c>
      <c r="M50" s="15">
        <v>202500000047646</v>
      </c>
      <c r="N50" s="15" t="s">
        <v>383</v>
      </c>
      <c r="O50" s="15" t="s">
        <v>110</v>
      </c>
      <c r="P50" s="8" t="s">
        <v>202</v>
      </c>
      <c r="Q50" s="16">
        <v>0</v>
      </c>
      <c r="R50" s="16">
        <v>0</v>
      </c>
      <c r="S50" s="16">
        <v>0</v>
      </c>
      <c r="T50" s="16">
        <v>0</v>
      </c>
      <c r="U50" s="16">
        <v>0</v>
      </c>
      <c r="V50" s="16">
        <v>0</v>
      </c>
      <c r="W50" s="16">
        <v>0</v>
      </c>
      <c r="X50" s="16">
        <v>100000000</v>
      </c>
      <c r="Y50" s="16">
        <v>0</v>
      </c>
      <c r="Z50" s="16">
        <v>0</v>
      </c>
      <c r="AA50" s="16">
        <v>0</v>
      </c>
      <c r="AB50" s="16">
        <v>0</v>
      </c>
      <c r="AC50" s="16">
        <v>0</v>
      </c>
      <c r="AD50" s="16">
        <v>0</v>
      </c>
      <c r="AE50" s="17">
        <f t="shared" si="12"/>
        <v>100000000</v>
      </c>
      <c r="AF50" s="20">
        <v>14000000</v>
      </c>
      <c r="AG50" s="30">
        <v>0</v>
      </c>
      <c r="AH50" s="19">
        <v>0</v>
      </c>
      <c r="AI50" s="14">
        <f t="shared" si="2"/>
        <v>0</v>
      </c>
    </row>
    <row r="51" spans="1:35" s="8" customFormat="1" ht="105" x14ac:dyDescent="0.25">
      <c r="A51" s="8" t="s">
        <v>69</v>
      </c>
      <c r="B51" s="8" t="s">
        <v>87</v>
      </c>
      <c r="C51" s="9">
        <v>2402</v>
      </c>
      <c r="D51" s="8" t="s">
        <v>88</v>
      </c>
      <c r="E51" s="9" t="s">
        <v>263</v>
      </c>
      <c r="F51" s="10">
        <v>240205600</v>
      </c>
      <c r="G51" s="11" t="s">
        <v>151</v>
      </c>
      <c r="H51" s="12" t="s">
        <v>45</v>
      </c>
      <c r="I51" s="13">
        <v>150</v>
      </c>
      <c r="J51" s="13">
        <v>50</v>
      </c>
      <c r="K51" s="29">
        <v>0</v>
      </c>
      <c r="L51" s="14">
        <f t="shared" si="1"/>
        <v>0</v>
      </c>
      <c r="M51" s="15">
        <v>202500000047652</v>
      </c>
      <c r="N51" s="15" t="s">
        <v>384</v>
      </c>
      <c r="O51" s="15" t="s">
        <v>110</v>
      </c>
      <c r="P51" s="8" t="s">
        <v>203</v>
      </c>
      <c r="Q51" s="16">
        <v>0</v>
      </c>
      <c r="R51" s="16">
        <v>0</v>
      </c>
      <c r="S51" s="16">
        <v>0</v>
      </c>
      <c r="T51" s="16">
        <v>0</v>
      </c>
      <c r="U51" s="16">
        <v>0</v>
      </c>
      <c r="V51" s="16">
        <v>0</v>
      </c>
      <c r="W51" s="16">
        <v>0</v>
      </c>
      <c r="X51" s="16">
        <v>100000000</v>
      </c>
      <c r="Y51" s="16">
        <v>0</v>
      </c>
      <c r="Z51" s="16">
        <v>0</v>
      </c>
      <c r="AA51" s="16">
        <v>0</v>
      </c>
      <c r="AB51" s="16">
        <v>0</v>
      </c>
      <c r="AC51" s="16">
        <v>0</v>
      </c>
      <c r="AD51" s="16">
        <v>0</v>
      </c>
      <c r="AE51" s="17">
        <f t="shared" si="12"/>
        <v>100000000</v>
      </c>
      <c r="AF51" s="20">
        <v>100000000</v>
      </c>
      <c r="AG51" s="30">
        <v>81132967</v>
      </c>
      <c r="AH51" s="19">
        <v>81132967</v>
      </c>
      <c r="AI51" s="14">
        <f t="shared" si="2"/>
        <v>0.81132967</v>
      </c>
    </row>
    <row r="52" spans="1:35" s="8" customFormat="1" ht="90" x14ac:dyDescent="0.25">
      <c r="A52" s="8" t="s">
        <v>69</v>
      </c>
      <c r="B52" s="8" t="s">
        <v>87</v>
      </c>
      <c r="C52" s="9">
        <v>2402</v>
      </c>
      <c r="D52" s="8" t="s">
        <v>88</v>
      </c>
      <c r="E52" s="9" t="s">
        <v>264</v>
      </c>
      <c r="F52" s="10">
        <v>240205700</v>
      </c>
      <c r="G52" s="11" t="s">
        <v>152</v>
      </c>
      <c r="H52" s="12" t="s">
        <v>46</v>
      </c>
      <c r="I52" s="13">
        <v>2</v>
      </c>
      <c r="J52" s="13">
        <v>1</v>
      </c>
      <c r="K52" s="29">
        <v>0</v>
      </c>
      <c r="L52" s="14">
        <f t="shared" si="1"/>
        <v>0</v>
      </c>
      <c r="M52" s="15">
        <v>202500000047671</v>
      </c>
      <c r="N52" s="15" t="s">
        <v>385</v>
      </c>
      <c r="O52" s="15" t="s">
        <v>110</v>
      </c>
      <c r="P52" s="8" t="s">
        <v>204</v>
      </c>
      <c r="Q52" s="16">
        <v>0</v>
      </c>
      <c r="R52" s="16">
        <v>0</v>
      </c>
      <c r="S52" s="16">
        <v>0</v>
      </c>
      <c r="T52" s="16">
        <v>0</v>
      </c>
      <c r="U52" s="16">
        <v>0</v>
      </c>
      <c r="V52" s="16">
        <v>0</v>
      </c>
      <c r="W52" s="16">
        <v>0</v>
      </c>
      <c r="X52" s="16">
        <v>80000000</v>
      </c>
      <c r="Y52" s="16">
        <v>0</v>
      </c>
      <c r="Z52" s="16">
        <v>0</v>
      </c>
      <c r="AA52" s="16">
        <v>0</v>
      </c>
      <c r="AB52" s="16">
        <v>0</v>
      </c>
      <c r="AC52" s="16">
        <v>0</v>
      </c>
      <c r="AD52" s="16">
        <v>0</v>
      </c>
      <c r="AE52" s="17">
        <f t="shared" si="12"/>
        <v>80000000</v>
      </c>
      <c r="AF52" s="20">
        <v>3515357</v>
      </c>
      <c r="AG52" s="30">
        <v>0</v>
      </c>
      <c r="AH52" s="19">
        <v>0</v>
      </c>
      <c r="AI52" s="14">
        <f t="shared" si="2"/>
        <v>0</v>
      </c>
    </row>
    <row r="53" spans="1:35" s="8" customFormat="1" ht="75" x14ac:dyDescent="0.25">
      <c r="A53" s="8" t="s">
        <v>69</v>
      </c>
      <c r="B53" s="8" t="s">
        <v>87</v>
      </c>
      <c r="C53" s="9">
        <v>2402</v>
      </c>
      <c r="D53" s="8" t="s">
        <v>88</v>
      </c>
      <c r="E53" s="9" t="s">
        <v>265</v>
      </c>
      <c r="F53" s="10">
        <v>240211200</v>
      </c>
      <c r="G53" s="11" t="s">
        <v>153</v>
      </c>
      <c r="H53" s="12" t="s">
        <v>47</v>
      </c>
      <c r="I53" s="13">
        <v>104</v>
      </c>
      <c r="J53" s="13">
        <v>35</v>
      </c>
      <c r="K53" s="29">
        <v>0</v>
      </c>
      <c r="L53" s="14">
        <f t="shared" si="1"/>
        <v>0</v>
      </c>
      <c r="M53" s="15">
        <v>202500000047627</v>
      </c>
      <c r="N53" s="15" t="s">
        <v>386</v>
      </c>
      <c r="O53" s="15" t="s">
        <v>110</v>
      </c>
      <c r="P53" s="8" t="s">
        <v>205</v>
      </c>
      <c r="Q53" s="16">
        <v>7206985</v>
      </c>
      <c r="R53" s="16">
        <v>0</v>
      </c>
      <c r="S53" s="16">
        <v>0</v>
      </c>
      <c r="T53" s="16">
        <v>0</v>
      </c>
      <c r="U53" s="16">
        <v>0</v>
      </c>
      <c r="V53" s="16">
        <v>0</v>
      </c>
      <c r="W53" s="16">
        <v>0</v>
      </c>
      <c r="X53" s="16">
        <v>510000000</v>
      </c>
      <c r="Y53" s="16">
        <v>0</v>
      </c>
      <c r="Z53" s="16">
        <v>0</v>
      </c>
      <c r="AA53" s="16">
        <v>99000000</v>
      </c>
      <c r="AB53" s="16">
        <v>0</v>
      </c>
      <c r="AC53" s="16">
        <v>0</v>
      </c>
      <c r="AD53" s="16">
        <v>0</v>
      </c>
      <c r="AE53" s="17">
        <f t="shared" si="12"/>
        <v>616206985</v>
      </c>
      <c r="AF53" s="20">
        <v>148407396</v>
      </c>
      <c r="AG53" s="30">
        <v>57100482</v>
      </c>
      <c r="AH53" s="19">
        <v>57100482</v>
      </c>
      <c r="AI53" s="14">
        <f t="shared" si="2"/>
        <v>9.2664451052920149E-2</v>
      </c>
    </row>
    <row r="54" spans="1:35" s="8" customFormat="1" ht="90" x14ac:dyDescent="0.25">
      <c r="A54" s="8" t="s">
        <v>69</v>
      </c>
      <c r="B54" s="8" t="s">
        <v>87</v>
      </c>
      <c r="C54" s="9">
        <v>2402</v>
      </c>
      <c r="D54" s="8" t="s">
        <v>88</v>
      </c>
      <c r="E54" s="9" t="s">
        <v>266</v>
      </c>
      <c r="F54" s="10">
        <v>240211400</v>
      </c>
      <c r="G54" s="11" t="s">
        <v>154</v>
      </c>
      <c r="H54" s="12" t="s">
        <v>48</v>
      </c>
      <c r="I54" s="13">
        <v>3</v>
      </c>
      <c r="J54" s="13">
        <v>1</v>
      </c>
      <c r="K54" s="29">
        <v>0</v>
      </c>
      <c r="L54" s="14">
        <f t="shared" si="1"/>
        <v>0</v>
      </c>
      <c r="M54" s="15">
        <v>202500000047610</v>
      </c>
      <c r="N54" s="15" t="s">
        <v>387</v>
      </c>
      <c r="O54" s="15" t="s">
        <v>110</v>
      </c>
      <c r="P54" s="8" t="s">
        <v>206</v>
      </c>
      <c r="Q54" s="16">
        <v>9649409.4399999995</v>
      </c>
      <c r="R54" s="16">
        <v>0</v>
      </c>
      <c r="S54" s="16">
        <v>0</v>
      </c>
      <c r="T54" s="16">
        <v>0</v>
      </c>
      <c r="U54" s="16">
        <v>0</v>
      </c>
      <c r="V54" s="16">
        <v>0</v>
      </c>
      <c r="W54" s="16">
        <v>0</v>
      </c>
      <c r="X54" s="16">
        <f>844512767+1087627200</f>
        <v>1932139967</v>
      </c>
      <c r="Y54" s="16">
        <v>0</v>
      </c>
      <c r="Z54" s="16">
        <v>0</v>
      </c>
      <c r="AA54" s="16">
        <v>0</v>
      </c>
      <c r="AB54" s="16">
        <v>0</v>
      </c>
      <c r="AC54" s="16">
        <v>0</v>
      </c>
      <c r="AD54" s="16">
        <v>0</v>
      </c>
      <c r="AE54" s="17">
        <f t="shared" si="12"/>
        <v>1941789376.4400001</v>
      </c>
      <c r="AF54" s="20">
        <v>216771568</v>
      </c>
      <c r="AG54" s="30">
        <v>0</v>
      </c>
      <c r="AH54" s="19">
        <v>0</v>
      </c>
      <c r="AI54" s="14">
        <f t="shared" si="2"/>
        <v>0</v>
      </c>
    </row>
    <row r="55" spans="1:35" s="8" customFormat="1" ht="105" x14ac:dyDescent="0.25">
      <c r="A55" s="8" t="s">
        <v>69</v>
      </c>
      <c r="B55" s="8" t="s">
        <v>87</v>
      </c>
      <c r="C55" s="9">
        <v>2409</v>
      </c>
      <c r="D55" s="8" t="s">
        <v>89</v>
      </c>
      <c r="E55" s="9">
        <v>2409039</v>
      </c>
      <c r="F55" s="10">
        <v>240903900</v>
      </c>
      <c r="G55" s="11" t="s">
        <v>294</v>
      </c>
      <c r="H55" s="12" t="s">
        <v>295</v>
      </c>
      <c r="I55" s="13">
        <v>136</v>
      </c>
      <c r="J55" s="13">
        <v>20</v>
      </c>
      <c r="K55" s="29">
        <v>0</v>
      </c>
      <c r="L55" s="14">
        <f t="shared" si="1"/>
        <v>0</v>
      </c>
      <c r="M55" s="15">
        <v>202500000047686</v>
      </c>
      <c r="N55" s="15" t="s">
        <v>388</v>
      </c>
      <c r="O55" s="15" t="s">
        <v>111</v>
      </c>
      <c r="P55" s="8" t="s">
        <v>296</v>
      </c>
      <c r="Q55" s="16">
        <f>6000000+80000000</f>
        <v>86000000</v>
      </c>
      <c r="R55" s="16">
        <v>0</v>
      </c>
      <c r="S55" s="16">
        <v>0</v>
      </c>
      <c r="T55" s="16">
        <v>0</v>
      </c>
      <c r="U55" s="16">
        <v>0</v>
      </c>
      <c r="V55" s="16">
        <v>0</v>
      </c>
      <c r="W55" s="16">
        <v>0</v>
      </c>
      <c r="X55" s="16">
        <v>0</v>
      </c>
      <c r="Y55" s="16">
        <v>0</v>
      </c>
      <c r="Z55" s="16">
        <v>0</v>
      </c>
      <c r="AA55" s="16">
        <v>0</v>
      </c>
      <c r="AB55" s="16">
        <v>0</v>
      </c>
      <c r="AC55" s="16">
        <v>0</v>
      </c>
      <c r="AD55" s="16">
        <v>0</v>
      </c>
      <c r="AE55" s="17">
        <f t="shared" ref="AE55" si="13">SUM(Q55:AD55)</f>
        <v>86000000</v>
      </c>
      <c r="AF55" s="20">
        <v>0</v>
      </c>
      <c r="AG55" s="30">
        <v>0</v>
      </c>
      <c r="AH55" s="19">
        <v>0</v>
      </c>
      <c r="AI55" s="14">
        <f t="shared" si="2"/>
        <v>0</v>
      </c>
    </row>
    <row r="56" spans="1:35" s="8" customFormat="1" ht="120" x14ac:dyDescent="0.25">
      <c r="A56" s="8" t="s">
        <v>69</v>
      </c>
      <c r="B56" s="8" t="s">
        <v>90</v>
      </c>
      <c r="C56" s="9">
        <v>3502</v>
      </c>
      <c r="D56" s="8" t="s">
        <v>91</v>
      </c>
      <c r="E56" s="9" t="s">
        <v>267</v>
      </c>
      <c r="F56" s="10">
        <v>350204500</v>
      </c>
      <c r="G56" s="11" t="s">
        <v>131</v>
      </c>
      <c r="H56" s="12" t="s">
        <v>49</v>
      </c>
      <c r="I56" s="13">
        <v>100</v>
      </c>
      <c r="J56" s="13">
        <v>25</v>
      </c>
      <c r="K56" s="29">
        <v>0</v>
      </c>
      <c r="L56" s="14">
        <f t="shared" si="1"/>
        <v>0</v>
      </c>
      <c r="M56" s="15">
        <v>202500000047953</v>
      </c>
      <c r="N56" s="15" t="s">
        <v>389</v>
      </c>
      <c r="O56" s="15" t="s">
        <v>106</v>
      </c>
      <c r="P56" s="8" t="s">
        <v>216</v>
      </c>
      <c r="Q56" s="16">
        <v>0</v>
      </c>
      <c r="R56" s="16">
        <v>0</v>
      </c>
      <c r="S56" s="16">
        <v>0</v>
      </c>
      <c r="T56" s="16">
        <v>0</v>
      </c>
      <c r="U56" s="16">
        <v>0</v>
      </c>
      <c r="V56" s="16">
        <v>0</v>
      </c>
      <c r="W56" s="16">
        <v>86580000</v>
      </c>
      <c r="X56" s="16">
        <v>0</v>
      </c>
      <c r="Y56" s="16">
        <v>0</v>
      </c>
      <c r="Z56" s="16">
        <v>0</v>
      </c>
      <c r="AA56" s="16">
        <v>0</v>
      </c>
      <c r="AB56" s="16">
        <v>0</v>
      </c>
      <c r="AC56" s="16">
        <v>0</v>
      </c>
      <c r="AD56" s="16">
        <v>0</v>
      </c>
      <c r="AE56" s="17">
        <f t="shared" si="12"/>
        <v>86580000</v>
      </c>
      <c r="AF56" s="20">
        <v>43429173</v>
      </c>
      <c r="AG56" s="30">
        <v>10350000</v>
      </c>
      <c r="AH56" s="19">
        <v>10350000</v>
      </c>
      <c r="AI56" s="14">
        <f t="shared" si="2"/>
        <v>0.11954261954261955</v>
      </c>
    </row>
    <row r="57" spans="1:35" s="8" customFormat="1" ht="120" x14ac:dyDescent="0.25">
      <c r="A57" s="8" t="s">
        <v>69</v>
      </c>
      <c r="B57" s="8" t="s">
        <v>92</v>
      </c>
      <c r="C57" s="9">
        <v>1702</v>
      </c>
      <c r="D57" s="8" t="s">
        <v>93</v>
      </c>
      <c r="E57" s="9" t="s">
        <v>268</v>
      </c>
      <c r="F57" s="10">
        <v>170201000</v>
      </c>
      <c r="G57" s="11" t="s">
        <v>155</v>
      </c>
      <c r="H57" s="12" t="s">
        <v>50</v>
      </c>
      <c r="I57" s="13">
        <v>1000</v>
      </c>
      <c r="J57" s="13">
        <v>1000</v>
      </c>
      <c r="K57" s="29">
        <v>0</v>
      </c>
      <c r="L57" s="14">
        <f t="shared" si="1"/>
        <v>0</v>
      </c>
      <c r="M57" s="15">
        <v>202500000047420</v>
      </c>
      <c r="N57" s="15" t="s">
        <v>390</v>
      </c>
      <c r="O57" s="15" t="s">
        <v>109</v>
      </c>
      <c r="P57" s="8" t="s">
        <v>170</v>
      </c>
      <c r="Q57" s="16">
        <v>0</v>
      </c>
      <c r="R57" s="16">
        <v>0</v>
      </c>
      <c r="S57" s="16">
        <v>0</v>
      </c>
      <c r="T57" s="16">
        <v>0</v>
      </c>
      <c r="U57" s="16">
        <v>0</v>
      </c>
      <c r="V57" s="16">
        <v>0</v>
      </c>
      <c r="W57" s="16">
        <v>0</v>
      </c>
      <c r="X57" s="16">
        <v>330900000</v>
      </c>
      <c r="Y57" s="16">
        <v>0</v>
      </c>
      <c r="Z57" s="16">
        <v>0</v>
      </c>
      <c r="AA57" s="16">
        <v>0</v>
      </c>
      <c r="AB57" s="16">
        <v>0</v>
      </c>
      <c r="AC57" s="16">
        <v>0</v>
      </c>
      <c r="AD57" s="16">
        <v>0</v>
      </c>
      <c r="AE57" s="17">
        <f t="shared" si="12"/>
        <v>330900000</v>
      </c>
      <c r="AF57" s="20">
        <v>187695066</v>
      </c>
      <c r="AG57" s="30">
        <v>114230566</v>
      </c>
      <c r="AH57" s="19">
        <v>114230566</v>
      </c>
      <c r="AI57" s="14">
        <f t="shared" si="2"/>
        <v>0.34521174372922331</v>
      </c>
    </row>
    <row r="58" spans="1:35" s="8" customFormat="1" ht="120" x14ac:dyDescent="0.25">
      <c r="A58" s="8" t="s">
        <v>69</v>
      </c>
      <c r="B58" s="8" t="s">
        <v>92</v>
      </c>
      <c r="C58" s="9"/>
      <c r="D58" s="8" t="s">
        <v>93</v>
      </c>
      <c r="E58" s="9">
        <v>1702023</v>
      </c>
      <c r="F58" s="10">
        <v>170202301</v>
      </c>
      <c r="G58" s="11" t="s">
        <v>292</v>
      </c>
      <c r="H58" s="12" t="s">
        <v>292</v>
      </c>
      <c r="I58" s="13">
        <v>1</v>
      </c>
      <c r="J58" s="13">
        <v>1</v>
      </c>
      <c r="K58" s="29">
        <v>0</v>
      </c>
      <c r="L58" s="14">
        <f t="shared" si="1"/>
        <v>0</v>
      </c>
      <c r="M58" s="15">
        <v>202500000047417</v>
      </c>
      <c r="N58" s="15" t="s">
        <v>391</v>
      </c>
      <c r="O58" s="15" t="s">
        <v>109</v>
      </c>
      <c r="P58" s="8" t="s">
        <v>293</v>
      </c>
      <c r="Q58" s="16">
        <v>60000000</v>
      </c>
      <c r="R58" s="16">
        <v>0</v>
      </c>
      <c r="S58" s="16">
        <v>0</v>
      </c>
      <c r="T58" s="16">
        <v>0</v>
      </c>
      <c r="U58" s="16">
        <v>0</v>
      </c>
      <c r="V58" s="16">
        <v>0</v>
      </c>
      <c r="W58" s="16">
        <v>0</v>
      </c>
      <c r="X58" s="16">
        <v>0</v>
      </c>
      <c r="Y58" s="16">
        <v>0</v>
      </c>
      <c r="Z58" s="16">
        <v>0</v>
      </c>
      <c r="AA58" s="16">
        <v>0</v>
      </c>
      <c r="AB58" s="16">
        <v>0</v>
      </c>
      <c r="AC58" s="16">
        <v>0</v>
      </c>
      <c r="AD58" s="16">
        <v>0</v>
      </c>
      <c r="AE58" s="17">
        <f t="shared" ref="AE58" si="14">SUM(Q58:AD58)</f>
        <v>60000000</v>
      </c>
      <c r="AF58" s="20">
        <v>27000000</v>
      </c>
      <c r="AG58" s="30">
        <v>4000000</v>
      </c>
      <c r="AH58" s="19">
        <v>4000000</v>
      </c>
      <c r="AI58" s="14">
        <f t="shared" si="2"/>
        <v>6.6666666666666666E-2</v>
      </c>
    </row>
    <row r="59" spans="1:35" s="8" customFormat="1" ht="135" x14ac:dyDescent="0.25">
      <c r="A59" s="8" t="s">
        <v>69</v>
      </c>
      <c r="B59" s="8" t="s">
        <v>92</v>
      </c>
      <c r="C59" s="9">
        <v>1702</v>
      </c>
      <c r="D59" s="8" t="s">
        <v>93</v>
      </c>
      <c r="E59" s="9" t="s">
        <v>269</v>
      </c>
      <c r="F59" s="10">
        <v>170203800</v>
      </c>
      <c r="G59" s="11" t="s">
        <v>171</v>
      </c>
      <c r="H59" s="12" t="s">
        <v>51</v>
      </c>
      <c r="I59" s="13">
        <v>10</v>
      </c>
      <c r="J59" s="13">
        <v>2</v>
      </c>
      <c r="K59" s="29">
        <v>0</v>
      </c>
      <c r="L59" s="14">
        <f t="shared" si="1"/>
        <v>0</v>
      </c>
      <c r="M59" s="15">
        <v>202500000047425</v>
      </c>
      <c r="N59" s="15" t="s">
        <v>392</v>
      </c>
      <c r="O59" s="15" t="s">
        <v>109</v>
      </c>
      <c r="P59" s="8" t="s">
        <v>312</v>
      </c>
      <c r="Q59" s="16">
        <v>0</v>
      </c>
      <c r="R59" s="16">
        <v>0</v>
      </c>
      <c r="S59" s="16">
        <v>0</v>
      </c>
      <c r="T59" s="16">
        <v>0</v>
      </c>
      <c r="U59" s="16">
        <v>0</v>
      </c>
      <c r="V59" s="16">
        <v>0</v>
      </c>
      <c r="W59" s="16">
        <v>0</v>
      </c>
      <c r="X59" s="16">
        <v>42000000</v>
      </c>
      <c r="Y59" s="16">
        <v>0</v>
      </c>
      <c r="Z59" s="16">
        <v>0</v>
      </c>
      <c r="AA59" s="16">
        <v>0</v>
      </c>
      <c r="AB59" s="16">
        <v>0</v>
      </c>
      <c r="AC59" s="16">
        <v>0</v>
      </c>
      <c r="AD59" s="16">
        <v>0</v>
      </c>
      <c r="AE59" s="17">
        <f t="shared" si="12"/>
        <v>42000000</v>
      </c>
      <c r="AF59" s="20">
        <v>42000000</v>
      </c>
      <c r="AG59" s="30">
        <v>0</v>
      </c>
      <c r="AH59" s="19">
        <v>0</v>
      </c>
      <c r="AI59" s="14">
        <f t="shared" si="2"/>
        <v>0</v>
      </c>
    </row>
    <row r="60" spans="1:35" s="8" customFormat="1" ht="120" x14ac:dyDescent="0.25">
      <c r="A60" s="8" t="s">
        <v>69</v>
      </c>
      <c r="B60" s="8" t="s">
        <v>92</v>
      </c>
      <c r="C60" s="9">
        <v>1704</v>
      </c>
      <c r="D60" s="8" t="s">
        <v>94</v>
      </c>
      <c r="E60" s="9" t="s">
        <v>270</v>
      </c>
      <c r="F60" s="10">
        <v>170400100</v>
      </c>
      <c r="G60" s="11" t="s">
        <v>156</v>
      </c>
      <c r="H60" s="12" t="s">
        <v>52</v>
      </c>
      <c r="I60" s="13">
        <v>1</v>
      </c>
      <c r="J60" s="13">
        <v>1</v>
      </c>
      <c r="K60" s="29">
        <v>0</v>
      </c>
      <c r="L60" s="14">
        <f t="shared" si="1"/>
        <v>0</v>
      </c>
      <c r="M60" s="15">
        <v>202500000047414</v>
      </c>
      <c r="N60" s="15" t="s">
        <v>393</v>
      </c>
      <c r="O60" s="15" t="s">
        <v>109</v>
      </c>
      <c r="P60" s="8" t="s">
        <v>172</v>
      </c>
      <c r="Q60" s="16">
        <v>0</v>
      </c>
      <c r="R60" s="16">
        <v>0</v>
      </c>
      <c r="S60" s="16">
        <v>0</v>
      </c>
      <c r="T60" s="16">
        <v>0</v>
      </c>
      <c r="U60" s="16">
        <v>0</v>
      </c>
      <c r="V60" s="16">
        <v>0</v>
      </c>
      <c r="W60" s="16">
        <v>0</v>
      </c>
      <c r="X60" s="16">
        <v>15000000</v>
      </c>
      <c r="Y60" s="16">
        <v>0</v>
      </c>
      <c r="Z60" s="16">
        <v>0</v>
      </c>
      <c r="AA60" s="16">
        <v>0</v>
      </c>
      <c r="AB60" s="16">
        <v>0</v>
      </c>
      <c r="AC60" s="16">
        <v>0</v>
      </c>
      <c r="AD60" s="16">
        <v>0</v>
      </c>
      <c r="AE60" s="17">
        <f t="shared" si="12"/>
        <v>15000000</v>
      </c>
      <c r="AF60" s="20">
        <v>0</v>
      </c>
      <c r="AG60" s="30">
        <v>0</v>
      </c>
      <c r="AH60" s="19">
        <v>0</v>
      </c>
      <c r="AI60" s="14">
        <f t="shared" si="2"/>
        <v>0</v>
      </c>
    </row>
    <row r="61" spans="1:35" s="8" customFormat="1" ht="195" x14ac:dyDescent="0.25">
      <c r="A61" s="8" t="s">
        <v>69</v>
      </c>
      <c r="B61" s="8" t="s">
        <v>92</v>
      </c>
      <c r="C61" s="9">
        <v>1709</v>
      </c>
      <c r="D61" s="8" t="s">
        <v>95</v>
      </c>
      <c r="E61" s="9" t="s">
        <v>271</v>
      </c>
      <c r="F61" s="10">
        <v>170910500</v>
      </c>
      <c r="G61" s="11" t="s">
        <v>157</v>
      </c>
      <c r="H61" s="12" t="s">
        <v>53</v>
      </c>
      <c r="I61" s="13">
        <v>6</v>
      </c>
      <c r="J61" s="13">
        <v>3</v>
      </c>
      <c r="K61" s="29">
        <v>0</v>
      </c>
      <c r="L61" s="14">
        <f t="shared" si="1"/>
        <v>0</v>
      </c>
      <c r="M61" s="15">
        <v>202500000047423</v>
      </c>
      <c r="N61" s="15" t="s">
        <v>394</v>
      </c>
      <c r="O61" s="15" t="s">
        <v>109</v>
      </c>
      <c r="P61" s="8" t="s">
        <v>173</v>
      </c>
      <c r="Q61" s="16">
        <v>713864</v>
      </c>
      <c r="R61" s="16">
        <v>0</v>
      </c>
      <c r="S61" s="16">
        <v>0</v>
      </c>
      <c r="T61" s="16">
        <v>0</v>
      </c>
      <c r="U61" s="16">
        <v>0</v>
      </c>
      <c r="V61" s="16">
        <v>0</v>
      </c>
      <c r="W61" s="16">
        <v>20839280</v>
      </c>
      <c r="X61" s="16">
        <f>238894601+80000000</f>
        <v>318894601</v>
      </c>
      <c r="Y61" s="16">
        <v>0</v>
      </c>
      <c r="Z61" s="16">
        <v>0</v>
      </c>
      <c r="AA61" s="16">
        <v>5779420</v>
      </c>
      <c r="AB61" s="16">
        <v>0</v>
      </c>
      <c r="AC61" s="16">
        <v>0</v>
      </c>
      <c r="AD61" s="16">
        <v>0</v>
      </c>
      <c r="AE61" s="17">
        <f t="shared" ref="AE61:AE69" si="15">SUM(Q61:AD61)</f>
        <v>346227165</v>
      </c>
      <c r="AF61" s="20">
        <v>90000000</v>
      </c>
      <c r="AG61" s="30">
        <v>90000000</v>
      </c>
      <c r="AH61" s="19">
        <v>90000000</v>
      </c>
      <c r="AI61" s="14">
        <f t="shared" si="2"/>
        <v>0.25994494106203364</v>
      </c>
    </row>
    <row r="62" spans="1:35" s="8" customFormat="1" ht="135" x14ac:dyDescent="0.25">
      <c r="A62" s="8" t="s">
        <v>70</v>
      </c>
      <c r="B62" s="8" t="s">
        <v>96</v>
      </c>
      <c r="C62" s="9">
        <v>4502</v>
      </c>
      <c r="D62" s="8" t="s">
        <v>97</v>
      </c>
      <c r="E62" s="9" t="s">
        <v>272</v>
      </c>
      <c r="F62" s="10">
        <v>450200100</v>
      </c>
      <c r="G62" s="11" t="s">
        <v>158</v>
      </c>
      <c r="H62" s="12" t="s">
        <v>54</v>
      </c>
      <c r="I62" s="13">
        <v>4</v>
      </c>
      <c r="J62" s="13">
        <v>1</v>
      </c>
      <c r="K62" s="29">
        <v>0</v>
      </c>
      <c r="L62" s="14">
        <f t="shared" si="1"/>
        <v>0</v>
      </c>
      <c r="M62" s="15">
        <v>202500000048502</v>
      </c>
      <c r="N62" s="15" t="s">
        <v>395</v>
      </c>
      <c r="O62" s="15" t="s">
        <v>106</v>
      </c>
      <c r="P62" s="8" t="s">
        <v>217</v>
      </c>
      <c r="Q62" s="16">
        <v>0</v>
      </c>
      <c r="R62" s="16">
        <v>0</v>
      </c>
      <c r="S62" s="16">
        <v>0</v>
      </c>
      <c r="T62" s="16">
        <v>0</v>
      </c>
      <c r="U62" s="16">
        <v>0</v>
      </c>
      <c r="V62" s="16">
        <v>0</v>
      </c>
      <c r="W62" s="16">
        <v>0</v>
      </c>
      <c r="X62" s="16">
        <v>105000000</v>
      </c>
      <c r="Y62" s="16">
        <v>0</v>
      </c>
      <c r="Z62" s="16">
        <v>0</v>
      </c>
      <c r="AA62" s="16">
        <v>0</v>
      </c>
      <c r="AB62" s="16">
        <v>0</v>
      </c>
      <c r="AC62" s="16">
        <v>0</v>
      </c>
      <c r="AD62" s="16">
        <v>0</v>
      </c>
      <c r="AE62" s="17">
        <f t="shared" si="15"/>
        <v>105000000</v>
      </c>
      <c r="AF62" s="20">
        <v>73556656</v>
      </c>
      <c r="AG62" s="30">
        <v>17196656</v>
      </c>
      <c r="AH62" s="19">
        <v>17196656</v>
      </c>
      <c r="AI62" s="14">
        <f t="shared" si="2"/>
        <v>0.1637776761904762</v>
      </c>
    </row>
    <row r="63" spans="1:35" s="8" customFormat="1" ht="120" x14ac:dyDescent="0.25">
      <c r="A63" s="8" t="s">
        <v>70</v>
      </c>
      <c r="B63" s="8" t="s">
        <v>96</v>
      </c>
      <c r="C63" s="9">
        <v>4502</v>
      </c>
      <c r="D63" s="8" t="s">
        <v>97</v>
      </c>
      <c r="E63" s="9" t="s">
        <v>273</v>
      </c>
      <c r="F63" s="10">
        <v>450200300</v>
      </c>
      <c r="G63" s="11" t="s">
        <v>159</v>
      </c>
      <c r="H63" s="12" t="s">
        <v>55</v>
      </c>
      <c r="I63" s="13">
        <v>20</v>
      </c>
      <c r="J63" s="13">
        <v>4</v>
      </c>
      <c r="K63" s="29">
        <v>0</v>
      </c>
      <c r="L63" s="14">
        <f t="shared" si="1"/>
        <v>0</v>
      </c>
      <c r="M63" s="15">
        <v>202500000048495</v>
      </c>
      <c r="N63" s="15" t="s">
        <v>396</v>
      </c>
      <c r="O63" s="15" t="s">
        <v>106</v>
      </c>
      <c r="P63" s="8" t="s">
        <v>218</v>
      </c>
      <c r="Q63" s="16">
        <v>100000000</v>
      </c>
      <c r="R63" s="16">
        <v>0</v>
      </c>
      <c r="S63" s="16">
        <v>0</v>
      </c>
      <c r="T63" s="16">
        <v>0</v>
      </c>
      <c r="U63" s="16">
        <v>0</v>
      </c>
      <c r="V63" s="16">
        <v>0</v>
      </c>
      <c r="W63" s="16">
        <v>0</v>
      </c>
      <c r="X63" s="16">
        <v>100000000</v>
      </c>
      <c r="Y63" s="16">
        <v>0</v>
      </c>
      <c r="Z63" s="16">
        <v>0</v>
      </c>
      <c r="AA63" s="16">
        <v>0</v>
      </c>
      <c r="AB63" s="16">
        <v>0</v>
      </c>
      <c r="AC63" s="16">
        <v>0</v>
      </c>
      <c r="AD63" s="16">
        <v>0</v>
      </c>
      <c r="AE63" s="17">
        <f t="shared" si="15"/>
        <v>200000000</v>
      </c>
      <c r="AF63" s="20">
        <v>42668325</v>
      </c>
      <c r="AG63" s="30">
        <v>0</v>
      </c>
      <c r="AH63" s="19">
        <v>0</v>
      </c>
      <c r="AI63" s="14">
        <f t="shared" si="2"/>
        <v>0</v>
      </c>
    </row>
    <row r="64" spans="1:35" s="8" customFormat="1" ht="105" x14ac:dyDescent="0.25">
      <c r="A64" s="8" t="s">
        <v>70</v>
      </c>
      <c r="B64" s="8" t="s">
        <v>96</v>
      </c>
      <c r="C64" s="9">
        <v>4502</v>
      </c>
      <c r="D64" s="8" t="s">
        <v>97</v>
      </c>
      <c r="E64" s="9">
        <v>4502038</v>
      </c>
      <c r="F64" s="10">
        <v>450203800</v>
      </c>
      <c r="G64" s="11" t="s">
        <v>330</v>
      </c>
      <c r="H64" s="12" t="s">
        <v>331</v>
      </c>
      <c r="I64" s="13">
        <v>4</v>
      </c>
      <c r="J64" s="13">
        <v>1</v>
      </c>
      <c r="K64" s="29">
        <v>0</v>
      </c>
      <c r="L64" s="14">
        <f t="shared" si="1"/>
        <v>0</v>
      </c>
      <c r="M64" s="15">
        <v>202600000012660</v>
      </c>
      <c r="N64" s="15" t="s">
        <v>332</v>
      </c>
      <c r="O64" s="15" t="s">
        <v>106</v>
      </c>
      <c r="P64" s="8" t="s">
        <v>332</v>
      </c>
      <c r="Q64" s="16">
        <v>0</v>
      </c>
      <c r="R64" s="16">
        <v>0</v>
      </c>
      <c r="S64" s="16">
        <v>0</v>
      </c>
      <c r="T64" s="16">
        <v>0</v>
      </c>
      <c r="U64" s="16">
        <v>0</v>
      </c>
      <c r="V64" s="16">
        <v>0</v>
      </c>
      <c r="W64" s="16">
        <v>25000000</v>
      </c>
      <c r="X64" s="16">
        <v>0</v>
      </c>
      <c r="Y64" s="16">
        <v>0</v>
      </c>
      <c r="Z64" s="16">
        <v>0</v>
      </c>
      <c r="AA64" s="16">
        <v>0</v>
      </c>
      <c r="AB64" s="16">
        <v>0</v>
      </c>
      <c r="AC64" s="16">
        <v>0</v>
      </c>
      <c r="AD64" s="16">
        <v>0</v>
      </c>
      <c r="AE64" s="17">
        <f t="shared" si="15"/>
        <v>25000000</v>
      </c>
      <c r="AF64" s="20">
        <v>0</v>
      </c>
      <c r="AG64" s="30">
        <v>0</v>
      </c>
      <c r="AH64" s="19">
        <v>0</v>
      </c>
      <c r="AI64" s="14">
        <f t="shared" si="2"/>
        <v>0</v>
      </c>
    </row>
    <row r="65" spans="1:35" s="8" customFormat="1" ht="105" x14ac:dyDescent="0.25">
      <c r="A65" s="8" t="s">
        <v>70</v>
      </c>
      <c r="B65" s="8" t="s">
        <v>96</v>
      </c>
      <c r="C65" s="9">
        <v>4503</v>
      </c>
      <c r="D65" s="8" t="s">
        <v>98</v>
      </c>
      <c r="E65" s="9" t="s">
        <v>274</v>
      </c>
      <c r="F65" s="10">
        <v>450302200</v>
      </c>
      <c r="G65" s="11" t="s">
        <v>56</v>
      </c>
      <c r="H65" s="12" t="s">
        <v>56</v>
      </c>
      <c r="I65" s="13">
        <v>4</v>
      </c>
      <c r="J65" s="13">
        <f t="shared" ref="J65:J66" si="16">+I65/4</f>
        <v>1</v>
      </c>
      <c r="K65" s="29">
        <v>0</v>
      </c>
      <c r="L65" s="14">
        <f t="shared" si="1"/>
        <v>0</v>
      </c>
      <c r="M65" s="15">
        <v>202500000048510</v>
      </c>
      <c r="N65" s="15" t="s">
        <v>397</v>
      </c>
      <c r="O65" s="15" t="s">
        <v>110</v>
      </c>
      <c r="P65" s="8" t="s">
        <v>194</v>
      </c>
      <c r="Q65" s="16">
        <v>3291404</v>
      </c>
      <c r="R65" s="16">
        <v>0</v>
      </c>
      <c r="S65" s="16">
        <v>0</v>
      </c>
      <c r="T65" s="16">
        <v>0</v>
      </c>
      <c r="U65" s="16">
        <v>0</v>
      </c>
      <c r="V65" s="16">
        <v>0</v>
      </c>
      <c r="W65" s="16">
        <v>0</v>
      </c>
      <c r="X65" s="16">
        <v>920000000</v>
      </c>
      <c r="Y65" s="16">
        <v>0</v>
      </c>
      <c r="Z65" s="16">
        <v>0</v>
      </c>
      <c r="AA65" s="16">
        <v>0</v>
      </c>
      <c r="AB65" s="16">
        <v>0</v>
      </c>
      <c r="AC65" s="16">
        <v>0</v>
      </c>
      <c r="AD65" s="16">
        <v>0</v>
      </c>
      <c r="AE65" s="17">
        <f t="shared" si="15"/>
        <v>923291404</v>
      </c>
      <c r="AF65" s="20">
        <v>0</v>
      </c>
      <c r="AG65" s="30">
        <v>0</v>
      </c>
      <c r="AH65" s="19">
        <v>0</v>
      </c>
      <c r="AI65" s="14">
        <f t="shared" si="2"/>
        <v>0</v>
      </c>
    </row>
    <row r="66" spans="1:35" s="8" customFormat="1" ht="105" x14ac:dyDescent="0.25">
      <c r="A66" s="8" t="s">
        <v>70</v>
      </c>
      <c r="B66" s="8" t="s">
        <v>96</v>
      </c>
      <c r="C66" s="9">
        <v>4503</v>
      </c>
      <c r="D66" s="8" t="s">
        <v>98</v>
      </c>
      <c r="E66" s="9" t="s">
        <v>275</v>
      </c>
      <c r="F66" s="10">
        <v>450302800</v>
      </c>
      <c r="G66" s="11" t="s">
        <v>160</v>
      </c>
      <c r="H66" s="12" t="s">
        <v>57</v>
      </c>
      <c r="I66" s="13">
        <v>100</v>
      </c>
      <c r="J66" s="13">
        <f t="shared" si="16"/>
        <v>25</v>
      </c>
      <c r="K66" s="29">
        <v>0</v>
      </c>
      <c r="L66" s="14">
        <f t="shared" si="1"/>
        <v>0</v>
      </c>
      <c r="M66" s="15">
        <v>202500000048531</v>
      </c>
      <c r="N66" s="15" t="s">
        <v>398</v>
      </c>
      <c r="O66" s="15" t="s">
        <v>110</v>
      </c>
      <c r="P66" s="8" t="s">
        <v>193</v>
      </c>
      <c r="Q66" s="16">
        <v>358733863.61000001</v>
      </c>
      <c r="R66" s="16">
        <v>0</v>
      </c>
      <c r="S66" s="16">
        <v>0</v>
      </c>
      <c r="T66" s="16">
        <v>0</v>
      </c>
      <c r="U66" s="16">
        <v>0</v>
      </c>
      <c r="V66" s="16">
        <v>0</v>
      </c>
      <c r="W66" s="16">
        <v>97515265</v>
      </c>
      <c r="X66" s="16">
        <v>0</v>
      </c>
      <c r="Y66" s="16">
        <v>0</v>
      </c>
      <c r="Z66" s="16">
        <v>0</v>
      </c>
      <c r="AA66" s="16">
        <v>0</v>
      </c>
      <c r="AB66" s="16">
        <v>0</v>
      </c>
      <c r="AC66" s="16">
        <v>0</v>
      </c>
      <c r="AD66" s="16">
        <v>0</v>
      </c>
      <c r="AE66" s="17">
        <f t="shared" si="15"/>
        <v>456249128.61000001</v>
      </c>
      <c r="AF66" s="20">
        <v>16870000</v>
      </c>
      <c r="AG66" s="30">
        <v>16870000</v>
      </c>
      <c r="AH66" s="19">
        <v>16870000</v>
      </c>
      <c r="AI66" s="14">
        <f t="shared" si="2"/>
        <v>3.6975413084942919E-2</v>
      </c>
    </row>
    <row r="67" spans="1:35" s="8" customFormat="1" ht="90" x14ac:dyDescent="0.25">
      <c r="A67" s="8" t="s">
        <v>70</v>
      </c>
      <c r="B67" s="8" t="s">
        <v>96</v>
      </c>
      <c r="C67" s="9">
        <v>4503</v>
      </c>
      <c r="D67" s="8" t="s">
        <v>98</v>
      </c>
      <c r="E67" s="9">
        <v>4503035</v>
      </c>
      <c r="F67" s="10">
        <v>450303500</v>
      </c>
      <c r="G67" s="11" t="s">
        <v>333</v>
      </c>
      <c r="H67" s="12" t="s">
        <v>333</v>
      </c>
      <c r="I67" s="13">
        <v>4</v>
      </c>
      <c r="J67" s="13">
        <v>1</v>
      </c>
      <c r="K67" s="29">
        <v>0</v>
      </c>
      <c r="L67" s="14">
        <f t="shared" si="1"/>
        <v>0</v>
      </c>
      <c r="M67" s="15">
        <v>202600000012666</v>
      </c>
      <c r="N67" s="15" t="s">
        <v>334</v>
      </c>
      <c r="O67" s="15" t="s">
        <v>110</v>
      </c>
      <c r="P67" s="8" t="s">
        <v>334</v>
      </c>
      <c r="Q67" s="16">
        <v>10000000</v>
      </c>
      <c r="R67" s="16">
        <v>0</v>
      </c>
      <c r="S67" s="16">
        <v>0</v>
      </c>
      <c r="T67" s="16">
        <v>0</v>
      </c>
      <c r="U67" s="16">
        <v>0</v>
      </c>
      <c r="V67" s="16">
        <v>0</v>
      </c>
      <c r="W67" s="16">
        <v>0</v>
      </c>
      <c r="X67" s="16">
        <v>0</v>
      </c>
      <c r="Y67" s="16">
        <v>0</v>
      </c>
      <c r="Z67" s="16">
        <v>0</v>
      </c>
      <c r="AA67" s="16">
        <v>0</v>
      </c>
      <c r="AB67" s="16">
        <v>0</v>
      </c>
      <c r="AC67" s="16">
        <v>0</v>
      </c>
      <c r="AD67" s="16">
        <v>0</v>
      </c>
      <c r="AE67" s="17">
        <f t="shared" si="15"/>
        <v>10000000</v>
      </c>
      <c r="AF67" s="20">
        <v>0</v>
      </c>
      <c r="AG67" s="30">
        <v>0</v>
      </c>
      <c r="AH67" s="19">
        <v>0</v>
      </c>
      <c r="AI67" s="14">
        <f t="shared" si="2"/>
        <v>0</v>
      </c>
    </row>
    <row r="68" spans="1:35" s="8" customFormat="1" ht="120" x14ac:dyDescent="0.25">
      <c r="A68" s="8" t="s">
        <v>70</v>
      </c>
      <c r="B68" s="8" t="s">
        <v>96</v>
      </c>
      <c r="C68" s="9">
        <v>4599</v>
      </c>
      <c r="D68" s="8" t="s">
        <v>99</v>
      </c>
      <c r="E68" s="9" t="s">
        <v>276</v>
      </c>
      <c r="F68" s="10">
        <v>459901100</v>
      </c>
      <c r="G68" s="11" t="s">
        <v>184</v>
      </c>
      <c r="H68" s="12" t="s">
        <v>58</v>
      </c>
      <c r="I68" s="13">
        <v>4</v>
      </c>
      <c r="J68" s="13">
        <v>1</v>
      </c>
      <c r="K68" s="29">
        <v>0</v>
      </c>
      <c r="L68" s="14">
        <f t="shared" ref="L68:L74" si="17">+(K68/J68)</f>
        <v>0</v>
      </c>
      <c r="M68" s="15">
        <v>202500000048591</v>
      </c>
      <c r="N68" s="15" t="s">
        <v>399</v>
      </c>
      <c r="O68" s="15" t="s">
        <v>108</v>
      </c>
      <c r="P68" s="8" t="s">
        <v>185</v>
      </c>
      <c r="Q68" s="16">
        <v>0</v>
      </c>
      <c r="R68" s="16">
        <v>0</v>
      </c>
      <c r="S68" s="16">
        <v>0</v>
      </c>
      <c r="T68" s="16">
        <v>0</v>
      </c>
      <c r="U68" s="16">
        <v>0</v>
      </c>
      <c r="V68" s="16">
        <v>0</v>
      </c>
      <c r="W68" s="16">
        <v>0</v>
      </c>
      <c r="X68" s="16">
        <v>100000000</v>
      </c>
      <c r="Y68" s="16">
        <v>0</v>
      </c>
      <c r="Z68" s="16">
        <v>0</v>
      </c>
      <c r="AA68" s="16">
        <v>0</v>
      </c>
      <c r="AB68" s="16">
        <v>0</v>
      </c>
      <c r="AC68" s="16">
        <v>0</v>
      </c>
      <c r="AD68" s="16">
        <v>0</v>
      </c>
      <c r="AE68" s="17">
        <f t="shared" si="15"/>
        <v>100000000</v>
      </c>
      <c r="AF68" s="20">
        <v>0</v>
      </c>
      <c r="AG68" s="30">
        <v>0</v>
      </c>
      <c r="AH68" s="19">
        <v>0</v>
      </c>
      <c r="AI68" s="14">
        <f t="shared" ref="AI68:AI91" si="18">+AH68/AE68</f>
        <v>0</v>
      </c>
    </row>
    <row r="69" spans="1:35" s="8" customFormat="1" ht="105" x14ac:dyDescent="0.25">
      <c r="A69" s="8" t="s">
        <v>70</v>
      </c>
      <c r="B69" s="8" t="s">
        <v>96</v>
      </c>
      <c r="C69" s="9">
        <v>4599</v>
      </c>
      <c r="D69" s="8" t="s">
        <v>99</v>
      </c>
      <c r="E69" s="9" t="s">
        <v>277</v>
      </c>
      <c r="F69" s="10">
        <v>459901600</v>
      </c>
      <c r="G69" s="11" t="s">
        <v>186</v>
      </c>
      <c r="H69" s="12" t="s">
        <v>59</v>
      </c>
      <c r="I69" s="13">
        <v>4</v>
      </c>
      <c r="J69" s="13">
        <v>1</v>
      </c>
      <c r="K69" s="29">
        <v>0</v>
      </c>
      <c r="L69" s="14">
        <f t="shared" si="17"/>
        <v>0</v>
      </c>
      <c r="M69" s="15">
        <v>202500000048534</v>
      </c>
      <c r="N69" s="15" t="s">
        <v>400</v>
      </c>
      <c r="O69" s="15" t="s">
        <v>108</v>
      </c>
      <c r="P69" s="8" t="s">
        <v>183</v>
      </c>
      <c r="Q69" s="16">
        <v>0</v>
      </c>
      <c r="R69" s="16">
        <v>0</v>
      </c>
      <c r="S69" s="16">
        <v>0</v>
      </c>
      <c r="T69" s="16">
        <v>0</v>
      </c>
      <c r="U69" s="16">
        <v>0</v>
      </c>
      <c r="V69" s="16">
        <v>0</v>
      </c>
      <c r="W69" s="16">
        <v>39000000</v>
      </c>
      <c r="X69" s="16">
        <v>100000000</v>
      </c>
      <c r="Y69" s="16">
        <v>0</v>
      </c>
      <c r="Z69" s="16">
        <v>0</v>
      </c>
      <c r="AA69" s="16">
        <v>0</v>
      </c>
      <c r="AB69" s="16">
        <v>0</v>
      </c>
      <c r="AC69" s="16">
        <v>0</v>
      </c>
      <c r="AD69" s="16">
        <v>0</v>
      </c>
      <c r="AE69" s="17">
        <f t="shared" si="15"/>
        <v>139000000</v>
      </c>
      <c r="AF69" s="20">
        <v>0</v>
      </c>
      <c r="AG69" s="30">
        <v>0</v>
      </c>
      <c r="AH69" s="19">
        <v>0</v>
      </c>
      <c r="AI69" s="14">
        <f t="shared" si="18"/>
        <v>0</v>
      </c>
    </row>
    <row r="70" spans="1:35" s="8" customFormat="1" ht="120" x14ac:dyDescent="0.25">
      <c r="A70" s="8" t="s">
        <v>70</v>
      </c>
      <c r="B70" s="8" t="s">
        <v>96</v>
      </c>
      <c r="C70" s="9">
        <v>4599</v>
      </c>
      <c r="D70" s="8" t="s">
        <v>99</v>
      </c>
      <c r="E70" s="9">
        <v>4599031</v>
      </c>
      <c r="F70" s="10">
        <v>459903100</v>
      </c>
      <c r="G70" s="11" t="s">
        <v>309</v>
      </c>
      <c r="H70" s="12" t="s">
        <v>310</v>
      </c>
      <c r="I70" s="13">
        <v>4</v>
      </c>
      <c r="J70" s="13">
        <v>1</v>
      </c>
      <c r="K70" s="29">
        <v>0</v>
      </c>
      <c r="L70" s="14">
        <f t="shared" si="17"/>
        <v>0</v>
      </c>
      <c r="M70" s="15">
        <v>202500000048648</v>
      </c>
      <c r="N70" s="15" t="s">
        <v>401</v>
      </c>
      <c r="O70" s="15" t="s">
        <v>108</v>
      </c>
      <c r="P70" s="8" t="s">
        <v>308</v>
      </c>
      <c r="Q70" s="16">
        <v>0</v>
      </c>
      <c r="R70" s="16">
        <v>0</v>
      </c>
      <c r="S70" s="16">
        <v>0</v>
      </c>
      <c r="T70" s="16">
        <v>0</v>
      </c>
      <c r="U70" s="16">
        <v>0</v>
      </c>
      <c r="V70" s="16">
        <v>0</v>
      </c>
      <c r="W70" s="16">
        <v>0</v>
      </c>
      <c r="X70" s="16">
        <v>20000000</v>
      </c>
      <c r="Y70" s="16">
        <v>0</v>
      </c>
      <c r="Z70" s="16">
        <v>0</v>
      </c>
      <c r="AA70" s="16">
        <v>0</v>
      </c>
      <c r="AB70" s="16">
        <v>0</v>
      </c>
      <c r="AC70" s="16">
        <v>0</v>
      </c>
      <c r="AD70" s="16">
        <v>0</v>
      </c>
      <c r="AE70" s="17">
        <f t="shared" ref="AE70" si="19">SUM(Q70:AD70)</f>
        <v>20000000</v>
      </c>
      <c r="AF70" s="20">
        <v>0</v>
      </c>
      <c r="AG70" s="30">
        <v>0</v>
      </c>
      <c r="AH70" s="19">
        <v>0</v>
      </c>
      <c r="AI70" s="14">
        <f t="shared" si="18"/>
        <v>0</v>
      </c>
    </row>
    <row r="71" spans="1:35" s="8" customFormat="1" ht="90" x14ac:dyDescent="0.25">
      <c r="A71" s="8" t="s">
        <v>70</v>
      </c>
      <c r="B71" s="8" t="s">
        <v>100</v>
      </c>
      <c r="C71" s="9">
        <v>1202</v>
      </c>
      <c r="D71" s="8" t="s">
        <v>101</v>
      </c>
      <c r="E71" s="9" t="s">
        <v>278</v>
      </c>
      <c r="F71" s="10">
        <v>120201800</v>
      </c>
      <c r="G71" s="11" t="s">
        <v>187</v>
      </c>
      <c r="H71" s="12" t="s">
        <v>60</v>
      </c>
      <c r="I71" s="13">
        <v>4</v>
      </c>
      <c r="J71" s="13">
        <v>1</v>
      </c>
      <c r="K71" s="29">
        <v>0</v>
      </c>
      <c r="L71" s="14">
        <f t="shared" si="17"/>
        <v>0</v>
      </c>
      <c r="M71" s="15">
        <v>202500000047399</v>
      </c>
      <c r="N71" s="15" t="s">
        <v>402</v>
      </c>
      <c r="O71" s="15" t="s">
        <v>108</v>
      </c>
      <c r="P71" s="8" t="s">
        <v>289</v>
      </c>
      <c r="Q71" s="16">
        <v>0</v>
      </c>
      <c r="R71" s="16">
        <v>0</v>
      </c>
      <c r="S71" s="16">
        <v>0</v>
      </c>
      <c r="T71" s="16">
        <v>0</v>
      </c>
      <c r="U71" s="16">
        <v>0</v>
      </c>
      <c r="V71" s="16">
        <v>0</v>
      </c>
      <c r="W71" s="16">
        <v>0</v>
      </c>
      <c r="X71" s="16">
        <v>97244592</v>
      </c>
      <c r="Y71" s="16">
        <v>0</v>
      </c>
      <c r="Z71" s="16">
        <v>0</v>
      </c>
      <c r="AA71" s="16">
        <v>0</v>
      </c>
      <c r="AB71" s="16">
        <v>0</v>
      </c>
      <c r="AC71" s="16">
        <v>0</v>
      </c>
      <c r="AD71" s="16">
        <v>0</v>
      </c>
      <c r="AE71" s="17">
        <f t="shared" ref="AE71:AE74" si="20">SUM(Q71:AD71)</f>
        <v>97244592</v>
      </c>
      <c r="AF71" s="20">
        <v>22401650</v>
      </c>
      <c r="AG71" s="30">
        <v>22401650</v>
      </c>
      <c r="AH71" s="19">
        <v>22401650</v>
      </c>
      <c r="AI71" s="14">
        <f t="shared" si="18"/>
        <v>0.23036396718081761</v>
      </c>
    </row>
    <row r="72" spans="1:35" s="8" customFormat="1" ht="120" x14ac:dyDescent="0.25">
      <c r="A72" s="8" t="s">
        <v>70</v>
      </c>
      <c r="B72" s="8" t="s">
        <v>100</v>
      </c>
      <c r="C72" s="9">
        <v>1202</v>
      </c>
      <c r="D72" s="8" t="s">
        <v>101</v>
      </c>
      <c r="E72" s="9" t="s">
        <v>290</v>
      </c>
      <c r="F72" s="10">
        <v>120203300</v>
      </c>
      <c r="G72" s="11" t="s">
        <v>188</v>
      </c>
      <c r="H72" s="12" t="s">
        <v>61</v>
      </c>
      <c r="I72" s="13">
        <v>4</v>
      </c>
      <c r="J72" s="13">
        <v>1</v>
      </c>
      <c r="K72" s="29">
        <v>0</v>
      </c>
      <c r="L72" s="14">
        <f t="shared" si="17"/>
        <v>0</v>
      </c>
      <c r="M72" s="15">
        <v>202500000047408</v>
      </c>
      <c r="N72" s="15" t="s">
        <v>403</v>
      </c>
      <c r="O72" s="15" t="s">
        <v>108</v>
      </c>
      <c r="P72" s="8" t="s">
        <v>291</v>
      </c>
      <c r="Q72" s="16">
        <v>30000000</v>
      </c>
      <c r="R72" s="16">
        <v>0</v>
      </c>
      <c r="S72" s="16">
        <v>0</v>
      </c>
      <c r="T72" s="16">
        <v>0</v>
      </c>
      <c r="U72" s="16">
        <v>0</v>
      </c>
      <c r="V72" s="16">
        <v>0</v>
      </c>
      <c r="W72" s="16">
        <v>0</v>
      </c>
      <c r="X72" s="16">
        <v>0</v>
      </c>
      <c r="Y72" s="16">
        <v>0</v>
      </c>
      <c r="Z72" s="16">
        <v>0</v>
      </c>
      <c r="AA72" s="16">
        <v>0</v>
      </c>
      <c r="AB72" s="16">
        <v>0</v>
      </c>
      <c r="AC72" s="16">
        <v>0</v>
      </c>
      <c r="AD72" s="16">
        <v>0</v>
      </c>
      <c r="AE72" s="17">
        <f t="shared" si="20"/>
        <v>30000000</v>
      </c>
      <c r="AF72" s="20">
        <v>0</v>
      </c>
      <c r="AG72" s="30">
        <v>0</v>
      </c>
      <c r="AH72" s="19">
        <v>0</v>
      </c>
      <c r="AI72" s="14">
        <f t="shared" si="18"/>
        <v>0</v>
      </c>
    </row>
    <row r="73" spans="1:35" s="8" customFormat="1" ht="105" x14ac:dyDescent="0.25">
      <c r="A73" s="8" t="s">
        <v>70</v>
      </c>
      <c r="B73" s="8" t="s">
        <v>100</v>
      </c>
      <c r="C73" s="9">
        <v>1206</v>
      </c>
      <c r="D73" s="8" t="s">
        <v>102</v>
      </c>
      <c r="E73" s="9" t="s">
        <v>279</v>
      </c>
      <c r="F73" s="10">
        <v>120600702</v>
      </c>
      <c r="G73" s="11" t="s">
        <v>189</v>
      </c>
      <c r="H73" s="12" t="s">
        <v>62</v>
      </c>
      <c r="I73" s="13">
        <v>100</v>
      </c>
      <c r="J73" s="13">
        <v>25</v>
      </c>
      <c r="K73" s="29">
        <v>0</v>
      </c>
      <c r="L73" s="14">
        <f t="shared" si="17"/>
        <v>0</v>
      </c>
      <c r="M73" s="15">
        <v>202500000047402</v>
      </c>
      <c r="N73" s="15" t="s">
        <v>404</v>
      </c>
      <c r="O73" s="15" t="s">
        <v>108</v>
      </c>
      <c r="P73" s="8" t="s">
        <v>190</v>
      </c>
      <c r="Q73" s="16">
        <v>0</v>
      </c>
      <c r="R73" s="16">
        <v>0</v>
      </c>
      <c r="S73" s="16">
        <v>0</v>
      </c>
      <c r="T73" s="16">
        <v>0</v>
      </c>
      <c r="U73" s="16">
        <v>0</v>
      </c>
      <c r="V73" s="16">
        <v>0</v>
      </c>
      <c r="W73" s="16">
        <v>0</v>
      </c>
      <c r="X73" s="16">
        <v>40000000</v>
      </c>
      <c r="Y73" s="16">
        <v>0</v>
      </c>
      <c r="Z73" s="16">
        <v>0</v>
      </c>
      <c r="AA73" s="16">
        <v>0</v>
      </c>
      <c r="AB73" s="16">
        <v>0</v>
      </c>
      <c r="AC73" s="16">
        <v>0</v>
      </c>
      <c r="AD73" s="16">
        <v>0</v>
      </c>
      <c r="AE73" s="17">
        <f t="shared" si="20"/>
        <v>40000000</v>
      </c>
      <c r="AF73" s="20">
        <v>27308000</v>
      </c>
      <c r="AG73" s="30">
        <v>10694000</v>
      </c>
      <c r="AH73" s="19">
        <v>10694000</v>
      </c>
      <c r="AI73" s="14">
        <f t="shared" si="18"/>
        <v>0.26734999999999998</v>
      </c>
    </row>
    <row r="74" spans="1:35" s="8" customFormat="1" ht="135" x14ac:dyDescent="0.25">
      <c r="A74" s="8" t="s">
        <v>70</v>
      </c>
      <c r="B74" s="8" t="s">
        <v>100</v>
      </c>
      <c r="C74" s="9">
        <v>1206</v>
      </c>
      <c r="D74" s="8" t="s">
        <v>102</v>
      </c>
      <c r="E74" s="9" t="s">
        <v>280</v>
      </c>
      <c r="F74" s="10">
        <v>120601400</v>
      </c>
      <c r="G74" s="11" t="s">
        <v>191</v>
      </c>
      <c r="H74" s="12" t="s">
        <v>63</v>
      </c>
      <c r="I74" s="13">
        <v>200</v>
      </c>
      <c r="J74" s="13">
        <v>50</v>
      </c>
      <c r="K74" s="29">
        <v>0</v>
      </c>
      <c r="L74" s="14">
        <f t="shared" si="17"/>
        <v>0</v>
      </c>
      <c r="M74" s="15">
        <v>202500000047404</v>
      </c>
      <c r="N74" s="15" t="s">
        <v>405</v>
      </c>
      <c r="O74" s="15" t="s">
        <v>108</v>
      </c>
      <c r="P74" s="8" t="s">
        <v>192</v>
      </c>
      <c r="Q74" s="16">
        <v>20000000</v>
      </c>
      <c r="R74" s="16">
        <v>0</v>
      </c>
      <c r="S74" s="16">
        <v>0</v>
      </c>
      <c r="T74" s="16">
        <v>0</v>
      </c>
      <c r="U74" s="16">
        <v>0</v>
      </c>
      <c r="V74" s="16">
        <v>0</v>
      </c>
      <c r="W74" s="16">
        <v>0</v>
      </c>
      <c r="X74" s="16">
        <v>0</v>
      </c>
      <c r="Y74" s="16">
        <v>0</v>
      </c>
      <c r="Z74" s="16">
        <v>0</v>
      </c>
      <c r="AA74" s="16">
        <v>0</v>
      </c>
      <c r="AB74" s="16">
        <v>0</v>
      </c>
      <c r="AC74" s="16">
        <v>0</v>
      </c>
      <c r="AD74" s="16">
        <v>0</v>
      </c>
      <c r="AE74" s="17">
        <f t="shared" si="20"/>
        <v>20000000</v>
      </c>
      <c r="AF74" s="20">
        <v>4000000</v>
      </c>
      <c r="AG74" s="30">
        <v>0</v>
      </c>
      <c r="AH74" s="19">
        <v>0</v>
      </c>
      <c r="AI74" s="14">
        <f t="shared" si="18"/>
        <v>0</v>
      </c>
    </row>
    <row r="75" spans="1:35" s="8" customFormat="1" ht="135" x14ac:dyDescent="0.25">
      <c r="A75" s="8" t="s">
        <v>67</v>
      </c>
      <c r="B75" s="8" t="s">
        <v>409</v>
      </c>
      <c r="C75" s="9">
        <v>1905</v>
      </c>
      <c r="D75" s="8" t="s">
        <v>410</v>
      </c>
      <c r="E75" s="9">
        <v>1905020</v>
      </c>
      <c r="F75" s="10">
        <v>190502000</v>
      </c>
      <c r="G75" s="11" t="s">
        <v>411</v>
      </c>
      <c r="H75" s="12" t="s">
        <v>412</v>
      </c>
      <c r="I75" s="13">
        <v>10</v>
      </c>
      <c r="J75" s="13">
        <v>3</v>
      </c>
      <c r="K75" s="29">
        <v>0</v>
      </c>
      <c r="L75" s="14">
        <v>0</v>
      </c>
      <c r="M75" s="15">
        <v>202500000048885</v>
      </c>
      <c r="N75" s="15" t="s">
        <v>463</v>
      </c>
      <c r="O75" s="15" t="s">
        <v>105</v>
      </c>
      <c r="P75" s="8" t="s">
        <v>446</v>
      </c>
      <c r="Q75" s="16">
        <v>0</v>
      </c>
      <c r="R75" s="16">
        <v>0</v>
      </c>
      <c r="S75" s="16">
        <v>0</v>
      </c>
      <c r="T75" s="16">
        <v>0</v>
      </c>
      <c r="U75" s="16">
        <v>0</v>
      </c>
      <c r="V75" s="16">
        <v>0</v>
      </c>
      <c r="W75" s="16">
        <v>0</v>
      </c>
      <c r="X75" s="16">
        <v>0</v>
      </c>
      <c r="Y75" s="16">
        <v>100874029.15000001</v>
      </c>
      <c r="Z75" s="16">
        <v>0</v>
      </c>
      <c r="AA75" s="16">
        <v>0</v>
      </c>
      <c r="AB75" s="16">
        <v>0</v>
      </c>
      <c r="AC75" s="16">
        <v>0</v>
      </c>
      <c r="AD75" s="16">
        <v>0</v>
      </c>
      <c r="AE75" s="17">
        <v>100874029.15000001</v>
      </c>
      <c r="AF75" s="20">
        <v>65000000</v>
      </c>
      <c r="AG75" s="30">
        <v>18320000</v>
      </c>
      <c r="AH75" s="19">
        <v>18320000</v>
      </c>
      <c r="AI75" s="14">
        <f t="shared" si="18"/>
        <v>0.18161265247726052</v>
      </c>
    </row>
    <row r="76" spans="1:35" s="8" customFormat="1" ht="105" x14ac:dyDescent="0.25">
      <c r="A76" s="8" t="s">
        <v>67</v>
      </c>
      <c r="B76" s="8" t="s">
        <v>409</v>
      </c>
      <c r="C76" s="9">
        <v>1905</v>
      </c>
      <c r="D76" s="8" t="s">
        <v>410</v>
      </c>
      <c r="E76" s="9">
        <v>1905021</v>
      </c>
      <c r="F76" s="10">
        <v>190502100</v>
      </c>
      <c r="G76" s="11" t="s">
        <v>413</v>
      </c>
      <c r="H76" s="12" t="s">
        <v>414</v>
      </c>
      <c r="I76" s="13">
        <v>10</v>
      </c>
      <c r="J76" s="13">
        <v>3</v>
      </c>
      <c r="K76" s="29">
        <v>0</v>
      </c>
      <c r="L76" s="14">
        <v>0</v>
      </c>
      <c r="M76" s="15">
        <v>202500000048893</v>
      </c>
      <c r="N76" s="15" t="s">
        <v>464</v>
      </c>
      <c r="O76" s="15" t="s">
        <v>105</v>
      </c>
      <c r="P76" s="8" t="s">
        <v>447</v>
      </c>
      <c r="Q76" s="16">
        <v>0</v>
      </c>
      <c r="R76" s="16">
        <v>0</v>
      </c>
      <c r="S76" s="16">
        <v>0</v>
      </c>
      <c r="T76" s="16">
        <v>0</v>
      </c>
      <c r="U76" s="16">
        <v>0</v>
      </c>
      <c r="V76" s="16">
        <v>0</v>
      </c>
      <c r="W76" s="16">
        <v>0</v>
      </c>
      <c r="X76" s="16">
        <v>0</v>
      </c>
      <c r="Y76" s="16">
        <v>22000000</v>
      </c>
      <c r="Z76" s="16">
        <v>0</v>
      </c>
      <c r="AA76" s="16">
        <v>0</v>
      </c>
      <c r="AB76" s="16">
        <v>0</v>
      </c>
      <c r="AC76" s="16">
        <v>0</v>
      </c>
      <c r="AD76" s="16">
        <v>0</v>
      </c>
      <c r="AE76" s="17">
        <v>22000000</v>
      </c>
      <c r="AF76" s="20">
        <v>22000000</v>
      </c>
      <c r="AG76" s="30">
        <v>3175000</v>
      </c>
      <c r="AH76" s="19">
        <v>3175000</v>
      </c>
      <c r="AI76" s="14">
        <f t="shared" si="18"/>
        <v>0.14431818181818182</v>
      </c>
    </row>
    <row r="77" spans="1:35" s="8" customFormat="1" ht="120" x14ac:dyDescent="0.25">
      <c r="A77" s="8" t="s">
        <v>67</v>
      </c>
      <c r="B77" s="8" t="s">
        <v>409</v>
      </c>
      <c r="C77" s="9">
        <v>1905</v>
      </c>
      <c r="D77" s="8" t="s">
        <v>410</v>
      </c>
      <c r="E77" s="9">
        <v>1905022</v>
      </c>
      <c r="F77" s="10">
        <v>190502200</v>
      </c>
      <c r="G77" s="11" t="s">
        <v>415</v>
      </c>
      <c r="H77" s="12" t="s">
        <v>416</v>
      </c>
      <c r="I77" s="13">
        <v>8</v>
      </c>
      <c r="J77" s="13">
        <v>2</v>
      </c>
      <c r="K77" s="29">
        <v>0</v>
      </c>
      <c r="L77" s="14">
        <v>0</v>
      </c>
      <c r="M77" s="15">
        <v>202500000048955</v>
      </c>
      <c r="N77" s="15" t="s">
        <v>465</v>
      </c>
      <c r="O77" s="15" t="s">
        <v>105</v>
      </c>
      <c r="P77" s="8" t="s">
        <v>448</v>
      </c>
      <c r="Q77" s="16">
        <v>0</v>
      </c>
      <c r="R77" s="16">
        <v>0</v>
      </c>
      <c r="S77" s="16">
        <v>0</v>
      </c>
      <c r="T77" s="16">
        <v>0</v>
      </c>
      <c r="U77" s="16">
        <v>0</v>
      </c>
      <c r="V77" s="16">
        <v>0</v>
      </c>
      <c r="W77" s="16">
        <v>0</v>
      </c>
      <c r="X77" s="16">
        <v>0</v>
      </c>
      <c r="Y77" s="16">
        <v>44000000</v>
      </c>
      <c r="Z77" s="16">
        <v>0</v>
      </c>
      <c r="AA77" s="16">
        <v>0</v>
      </c>
      <c r="AB77" s="16">
        <v>0</v>
      </c>
      <c r="AC77" s="16">
        <v>0</v>
      </c>
      <c r="AD77" s="16">
        <v>0</v>
      </c>
      <c r="AE77" s="17">
        <v>44000000</v>
      </c>
      <c r="AF77" s="20">
        <v>44000000</v>
      </c>
      <c r="AG77" s="30">
        <v>10783200</v>
      </c>
      <c r="AH77" s="19">
        <v>10783200</v>
      </c>
      <c r="AI77" s="14">
        <f t="shared" si="18"/>
        <v>0.24507272727272728</v>
      </c>
    </row>
    <row r="78" spans="1:35" s="8" customFormat="1" ht="135" x14ac:dyDescent="0.25">
      <c r="A78" s="8" t="s">
        <v>67</v>
      </c>
      <c r="B78" s="8" t="s">
        <v>409</v>
      </c>
      <c r="C78" s="9">
        <v>1905</v>
      </c>
      <c r="D78" s="8" t="s">
        <v>410</v>
      </c>
      <c r="E78" s="9">
        <v>1905024</v>
      </c>
      <c r="F78" s="10">
        <v>190502400</v>
      </c>
      <c r="G78" s="11" t="s">
        <v>417</v>
      </c>
      <c r="H78" s="12" t="s">
        <v>418</v>
      </c>
      <c r="I78" s="13">
        <v>10</v>
      </c>
      <c r="J78" s="13">
        <v>3</v>
      </c>
      <c r="K78" s="29">
        <v>0</v>
      </c>
      <c r="L78" s="14">
        <v>0</v>
      </c>
      <c r="M78" s="15">
        <v>202500000048959</v>
      </c>
      <c r="N78" s="15" t="s">
        <v>466</v>
      </c>
      <c r="O78" s="15" t="s">
        <v>105</v>
      </c>
      <c r="P78" s="8" t="s">
        <v>449</v>
      </c>
      <c r="Q78" s="16">
        <v>0</v>
      </c>
      <c r="R78" s="16">
        <v>0</v>
      </c>
      <c r="S78" s="16">
        <v>0</v>
      </c>
      <c r="T78" s="16">
        <v>0</v>
      </c>
      <c r="U78" s="16">
        <v>0</v>
      </c>
      <c r="V78" s="16">
        <v>0</v>
      </c>
      <c r="W78" s="16">
        <v>0</v>
      </c>
      <c r="X78" s="16">
        <v>0</v>
      </c>
      <c r="Y78" s="16">
        <v>44000000</v>
      </c>
      <c r="Z78" s="16">
        <v>0</v>
      </c>
      <c r="AA78" s="16">
        <v>0</v>
      </c>
      <c r="AB78" s="16">
        <v>0</v>
      </c>
      <c r="AC78" s="16">
        <v>0</v>
      </c>
      <c r="AD78" s="16">
        <v>0</v>
      </c>
      <c r="AE78" s="17">
        <v>44000000</v>
      </c>
      <c r="AF78" s="20">
        <v>44000000</v>
      </c>
      <c r="AG78" s="30">
        <v>4370000</v>
      </c>
      <c r="AH78" s="19">
        <v>4370000</v>
      </c>
      <c r="AI78" s="14">
        <f t="shared" si="18"/>
        <v>9.9318181818181819E-2</v>
      </c>
    </row>
    <row r="79" spans="1:35" s="8" customFormat="1" ht="120" x14ac:dyDescent="0.25">
      <c r="A79" s="8" t="s">
        <v>67</v>
      </c>
      <c r="B79" s="8" t="s">
        <v>409</v>
      </c>
      <c r="C79" s="9">
        <v>1905</v>
      </c>
      <c r="D79" s="8" t="s">
        <v>410</v>
      </c>
      <c r="E79" s="9">
        <v>1905025</v>
      </c>
      <c r="F79" s="10">
        <v>190502500</v>
      </c>
      <c r="G79" s="11" t="s">
        <v>419</v>
      </c>
      <c r="H79" s="12" t="s">
        <v>420</v>
      </c>
      <c r="I79" s="13">
        <v>10</v>
      </c>
      <c r="J79" s="13">
        <v>3</v>
      </c>
      <c r="K79" s="29">
        <v>0</v>
      </c>
      <c r="L79" s="14">
        <v>0</v>
      </c>
      <c r="M79" s="15">
        <v>202500000048964</v>
      </c>
      <c r="N79" s="15" t="s">
        <v>467</v>
      </c>
      <c r="O79" s="15" t="s">
        <v>105</v>
      </c>
      <c r="P79" s="8" t="s">
        <v>450</v>
      </c>
      <c r="Q79" s="16">
        <v>0</v>
      </c>
      <c r="R79" s="16">
        <v>0</v>
      </c>
      <c r="S79" s="16">
        <v>0</v>
      </c>
      <c r="T79" s="16">
        <v>0</v>
      </c>
      <c r="U79" s="16">
        <v>0</v>
      </c>
      <c r="V79" s="16">
        <v>0</v>
      </c>
      <c r="W79" s="16">
        <v>0</v>
      </c>
      <c r="X79" s="16">
        <v>0</v>
      </c>
      <c r="Y79" s="16">
        <v>22853142</v>
      </c>
      <c r="Z79" s="16">
        <v>0</v>
      </c>
      <c r="AA79" s="16">
        <v>0</v>
      </c>
      <c r="AB79" s="16">
        <v>0</v>
      </c>
      <c r="AC79" s="16">
        <v>0</v>
      </c>
      <c r="AD79" s="16">
        <v>0</v>
      </c>
      <c r="AE79" s="17">
        <v>22853142</v>
      </c>
      <c r="AF79" s="20">
        <v>22853142</v>
      </c>
      <c r="AG79" s="30">
        <v>2170000</v>
      </c>
      <c r="AH79" s="19">
        <v>2170000</v>
      </c>
      <c r="AI79" s="14">
        <f t="shared" si="18"/>
        <v>9.4954120531872604E-2</v>
      </c>
    </row>
    <row r="80" spans="1:35" s="8" customFormat="1" ht="135" x14ac:dyDescent="0.25">
      <c r="A80" s="8" t="s">
        <v>67</v>
      </c>
      <c r="B80" s="8" t="s">
        <v>409</v>
      </c>
      <c r="C80" s="9">
        <v>1905</v>
      </c>
      <c r="D80" s="8" t="s">
        <v>410</v>
      </c>
      <c r="E80" s="9">
        <v>1905026</v>
      </c>
      <c r="F80" s="10">
        <v>190502600</v>
      </c>
      <c r="G80" s="11" t="s">
        <v>421</v>
      </c>
      <c r="H80" s="12" t="s">
        <v>422</v>
      </c>
      <c r="I80" s="13">
        <v>10</v>
      </c>
      <c r="J80" s="13">
        <v>3</v>
      </c>
      <c r="K80" s="29">
        <v>0</v>
      </c>
      <c r="L80" s="14">
        <v>0</v>
      </c>
      <c r="M80" s="15">
        <v>202500000048970</v>
      </c>
      <c r="N80" s="15" t="s">
        <v>468</v>
      </c>
      <c r="O80" s="15" t="s">
        <v>105</v>
      </c>
      <c r="P80" s="8" t="s">
        <v>451</v>
      </c>
      <c r="Q80" s="16">
        <v>0</v>
      </c>
      <c r="R80" s="16">
        <v>0</v>
      </c>
      <c r="S80" s="16">
        <v>0</v>
      </c>
      <c r="T80" s="16">
        <v>0</v>
      </c>
      <c r="U80" s="16">
        <v>0</v>
      </c>
      <c r="V80" s="16">
        <v>0</v>
      </c>
      <c r="W80" s="16">
        <v>0</v>
      </c>
      <c r="X80" s="16">
        <v>0</v>
      </c>
      <c r="Y80" s="16">
        <v>40000000</v>
      </c>
      <c r="Z80" s="16">
        <v>0</v>
      </c>
      <c r="AA80" s="16">
        <v>0</v>
      </c>
      <c r="AB80" s="16">
        <v>0</v>
      </c>
      <c r="AC80" s="16">
        <v>0</v>
      </c>
      <c r="AD80" s="16">
        <v>0</v>
      </c>
      <c r="AE80" s="17">
        <v>40000000</v>
      </c>
      <c r="AF80" s="20">
        <v>40000000</v>
      </c>
      <c r="AG80" s="30">
        <v>16400000</v>
      </c>
      <c r="AH80" s="19">
        <v>16400000</v>
      </c>
      <c r="AI80" s="14">
        <f t="shared" si="18"/>
        <v>0.41</v>
      </c>
    </row>
    <row r="81" spans="1:35" s="8" customFormat="1" ht="150" x14ac:dyDescent="0.25">
      <c r="A81" s="8" t="s">
        <v>67</v>
      </c>
      <c r="B81" s="8" t="s">
        <v>409</v>
      </c>
      <c r="C81" s="9">
        <v>1905</v>
      </c>
      <c r="D81" s="8" t="s">
        <v>410</v>
      </c>
      <c r="E81" s="9">
        <v>1905027</v>
      </c>
      <c r="F81" s="10">
        <v>190502700</v>
      </c>
      <c r="G81" s="11" t="s">
        <v>423</v>
      </c>
      <c r="H81" s="12" t="s">
        <v>424</v>
      </c>
      <c r="I81" s="13">
        <v>20</v>
      </c>
      <c r="J81" s="13">
        <v>5</v>
      </c>
      <c r="K81" s="29">
        <v>0</v>
      </c>
      <c r="L81" s="14">
        <v>0</v>
      </c>
      <c r="M81" s="15">
        <v>202500000048999</v>
      </c>
      <c r="N81" s="15" t="s">
        <v>469</v>
      </c>
      <c r="O81" s="15" t="s">
        <v>105</v>
      </c>
      <c r="P81" s="8" t="s">
        <v>452</v>
      </c>
      <c r="Q81" s="16">
        <v>0</v>
      </c>
      <c r="R81" s="16">
        <v>0</v>
      </c>
      <c r="S81" s="16">
        <v>0</v>
      </c>
      <c r="T81" s="16">
        <v>0</v>
      </c>
      <c r="U81" s="16">
        <v>0</v>
      </c>
      <c r="V81" s="16">
        <v>0</v>
      </c>
      <c r="W81" s="16">
        <v>0</v>
      </c>
      <c r="X81" s="16">
        <v>0</v>
      </c>
      <c r="Y81" s="16">
        <v>33300000</v>
      </c>
      <c r="Z81" s="16">
        <v>0</v>
      </c>
      <c r="AA81" s="16">
        <v>0</v>
      </c>
      <c r="AB81" s="16">
        <v>0</v>
      </c>
      <c r="AC81" s="16">
        <v>0</v>
      </c>
      <c r="AD81" s="16">
        <v>0</v>
      </c>
      <c r="AE81" s="17">
        <v>33300000</v>
      </c>
      <c r="AF81" s="20">
        <v>33300000</v>
      </c>
      <c r="AG81" s="30">
        <v>11445000</v>
      </c>
      <c r="AH81" s="19">
        <v>11445000</v>
      </c>
      <c r="AI81" s="14">
        <f t="shared" si="18"/>
        <v>0.34369369369369368</v>
      </c>
    </row>
    <row r="82" spans="1:35" s="8" customFormat="1" ht="120" x14ac:dyDescent="0.25">
      <c r="A82" s="8" t="s">
        <v>67</v>
      </c>
      <c r="B82" s="8" t="s">
        <v>409</v>
      </c>
      <c r="C82" s="9">
        <v>1905</v>
      </c>
      <c r="D82" s="8" t="s">
        <v>410</v>
      </c>
      <c r="E82" s="9">
        <v>1905028</v>
      </c>
      <c r="F82" s="10">
        <v>190502800</v>
      </c>
      <c r="G82" s="11" t="s">
        <v>425</v>
      </c>
      <c r="H82" s="12" t="s">
        <v>426</v>
      </c>
      <c r="I82" s="13">
        <v>10</v>
      </c>
      <c r="J82" s="13">
        <v>3</v>
      </c>
      <c r="K82" s="29">
        <v>0</v>
      </c>
      <c r="L82" s="14">
        <v>0</v>
      </c>
      <c r="M82" s="15">
        <v>202500000049005</v>
      </c>
      <c r="N82" s="15" t="s">
        <v>470</v>
      </c>
      <c r="O82" s="15" t="s">
        <v>105</v>
      </c>
      <c r="P82" s="8" t="s">
        <v>453</v>
      </c>
      <c r="Q82" s="16">
        <v>0</v>
      </c>
      <c r="R82" s="16">
        <v>0</v>
      </c>
      <c r="S82" s="16">
        <v>0</v>
      </c>
      <c r="T82" s="16">
        <v>0</v>
      </c>
      <c r="U82" s="16">
        <v>0</v>
      </c>
      <c r="V82" s="16">
        <v>0</v>
      </c>
      <c r="W82" s="16">
        <v>0</v>
      </c>
      <c r="X82" s="16">
        <v>0</v>
      </c>
      <c r="Y82" s="16">
        <v>44000000</v>
      </c>
      <c r="Z82" s="16">
        <v>0</v>
      </c>
      <c r="AA82" s="16">
        <v>0</v>
      </c>
      <c r="AB82" s="16">
        <v>0</v>
      </c>
      <c r="AC82" s="16">
        <v>0</v>
      </c>
      <c r="AD82" s="16">
        <v>0</v>
      </c>
      <c r="AE82" s="17">
        <v>44000000</v>
      </c>
      <c r="AF82" s="20">
        <v>44000000</v>
      </c>
      <c r="AG82" s="30">
        <v>7425000</v>
      </c>
      <c r="AH82" s="19">
        <v>7425000</v>
      </c>
      <c r="AI82" s="14">
        <f t="shared" si="18"/>
        <v>0.16875000000000001</v>
      </c>
    </row>
    <row r="83" spans="1:35" s="8" customFormat="1" ht="135" x14ac:dyDescent="0.25">
      <c r="A83" s="8" t="s">
        <v>67</v>
      </c>
      <c r="B83" s="8" t="s">
        <v>409</v>
      </c>
      <c r="C83" s="9">
        <v>1905</v>
      </c>
      <c r="D83" s="8" t="s">
        <v>410</v>
      </c>
      <c r="E83" s="9">
        <v>1905031</v>
      </c>
      <c r="F83" s="10">
        <v>190503100</v>
      </c>
      <c r="G83" s="11" t="s">
        <v>427</v>
      </c>
      <c r="H83" s="12" t="s">
        <v>428</v>
      </c>
      <c r="I83" s="13">
        <v>10</v>
      </c>
      <c r="J83" s="13">
        <v>3</v>
      </c>
      <c r="K83" s="29">
        <v>0</v>
      </c>
      <c r="L83" s="14">
        <v>0</v>
      </c>
      <c r="M83" s="15">
        <v>202500000049022</v>
      </c>
      <c r="N83" s="15" t="s">
        <v>471</v>
      </c>
      <c r="O83" s="15" t="s">
        <v>105</v>
      </c>
      <c r="P83" s="8" t="s">
        <v>454</v>
      </c>
      <c r="Q83" s="16">
        <v>0</v>
      </c>
      <c r="R83" s="16">
        <v>0</v>
      </c>
      <c r="S83" s="16">
        <v>0</v>
      </c>
      <c r="T83" s="16">
        <v>0</v>
      </c>
      <c r="U83" s="16">
        <v>0</v>
      </c>
      <c r="V83" s="16">
        <v>0</v>
      </c>
      <c r="W83" s="16">
        <v>0</v>
      </c>
      <c r="X83" s="16">
        <v>0</v>
      </c>
      <c r="Y83" s="16">
        <v>33300000</v>
      </c>
      <c r="Z83" s="16">
        <v>0</v>
      </c>
      <c r="AA83" s="16">
        <v>0</v>
      </c>
      <c r="AB83" s="16">
        <v>0</v>
      </c>
      <c r="AC83" s="16">
        <v>0</v>
      </c>
      <c r="AD83" s="16">
        <v>0</v>
      </c>
      <c r="AE83" s="17">
        <v>33300000</v>
      </c>
      <c r="AF83" s="20">
        <v>33300000</v>
      </c>
      <c r="AG83" s="30">
        <v>12182000</v>
      </c>
      <c r="AH83" s="19">
        <v>12182000</v>
      </c>
      <c r="AI83" s="14">
        <f t="shared" si="18"/>
        <v>0.36582582582582585</v>
      </c>
    </row>
    <row r="84" spans="1:35" s="8" customFormat="1" ht="105" x14ac:dyDescent="0.25">
      <c r="A84" s="8" t="s">
        <v>67</v>
      </c>
      <c r="B84" s="8" t="s">
        <v>409</v>
      </c>
      <c r="C84" s="9">
        <v>1905</v>
      </c>
      <c r="D84" s="8" t="s">
        <v>410</v>
      </c>
      <c r="E84" s="9">
        <v>1905040</v>
      </c>
      <c r="F84" s="10">
        <v>190504002</v>
      </c>
      <c r="G84" s="11" t="s">
        <v>429</v>
      </c>
      <c r="H84" s="12" t="s">
        <v>430</v>
      </c>
      <c r="I84" s="13">
        <v>80</v>
      </c>
      <c r="J84" s="13">
        <v>20</v>
      </c>
      <c r="K84" s="29">
        <v>0</v>
      </c>
      <c r="L84" s="14">
        <v>0</v>
      </c>
      <c r="M84" s="15">
        <v>202500000049038</v>
      </c>
      <c r="N84" s="15" t="s">
        <v>472</v>
      </c>
      <c r="O84" s="15" t="s">
        <v>105</v>
      </c>
      <c r="P84" s="8" t="s">
        <v>455</v>
      </c>
      <c r="Q84" s="16">
        <v>0</v>
      </c>
      <c r="R84" s="16">
        <v>0</v>
      </c>
      <c r="S84" s="16">
        <v>0</v>
      </c>
      <c r="T84" s="16">
        <v>0</v>
      </c>
      <c r="U84" s="16">
        <v>0</v>
      </c>
      <c r="V84" s="16">
        <v>0</v>
      </c>
      <c r="W84" s="16">
        <v>0</v>
      </c>
      <c r="X84" s="16">
        <v>0</v>
      </c>
      <c r="Y84" s="16">
        <v>30000000</v>
      </c>
      <c r="Z84" s="16">
        <v>0</v>
      </c>
      <c r="AA84" s="16">
        <v>0</v>
      </c>
      <c r="AB84" s="16">
        <v>0</v>
      </c>
      <c r="AC84" s="16">
        <v>0</v>
      </c>
      <c r="AD84" s="16">
        <v>0</v>
      </c>
      <c r="AE84" s="17">
        <v>30000000</v>
      </c>
      <c r="AF84" s="20">
        <v>30000000</v>
      </c>
      <c r="AG84" s="30">
        <v>4940000</v>
      </c>
      <c r="AH84" s="19">
        <v>4940000</v>
      </c>
      <c r="AI84" s="14">
        <f t="shared" si="18"/>
        <v>0.16466666666666666</v>
      </c>
    </row>
    <row r="85" spans="1:35" s="8" customFormat="1" ht="409.5" x14ac:dyDescent="0.25">
      <c r="A85" s="8" t="s">
        <v>67</v>
      </c>
      <c r="B85" s="8" t="s">
        <v>409</v>
      </c>
      <c r="C85" s="9">
        <v>1905</v>
      </c>
      <c r="D85" s="8" t="s">
        <v>410</v>
      </c>
      <c r="E85" s="9">
        <v>1905049</v>
      </c>
      <c r="F85" s="10">
        <v>190504900</v>
      </c>
      <c r="G85" s="11" t="s">
        <v>431</v>
      </c>
      <c r="H85" s="12" t="s">
        <v>432</v>
      </c>
      <c r="I85" s="13">
        <v>20</v>
      </c>
      <c r="J85" s="13">
        <v>5</v>
      </c>
      <c r="K85" s="29">
        <v>0</v>
      </c>
      <c r="L85" s="14">
        <v>0</v>
      </c>
      <c r="M85" s="15">
        <v>202500000049043</v>
      </c>
      <c r="N85" s="15" t="s">
        <v>473</v>
      </c>
      <c r="O85" s="15" t="s">
        <v>105</v>
      </c>
      <c r="P85" s="8" t="s">
        <v>456</v>
      </c>
      <c r="Q85" s="16">
        <v>0</v>
      </c>
      <c r="R85" s="16">
        <v>0</v>
      </c>
      <c r="S85" s="16">
        <v>0</v>
      </c>
      <c r="T85" s="16">
        <v>0</v>
      </c>
      <c r="U85" s="16">
        <v>0</v>
      </c>
      <c r="V85" s="16">
        <v>0</v>
      </c>
      <c r="W85" s="16">
        <v>0</v>
      </c>
      <c r="X85" s="16">
        <v>0</v>
      </c>
      <c r="Y85" s="16">
        <v>74000000</v>
      </c>
      <c r="Z85" s="16">
        <v>0</v>
      </c>
      <c r="AA85" s="16">
        <v>0</v>
      </c>
      <c r="AB85" s="16">
        <v>0</v>
      </c>
      <c r="AC85" s="16">
        <v>0</v>
      </c>
      <c r="AD85" s="16">
        <v>0</v>
      </c>
      <c r="AE85" s="17">
        <v>74000000</v>
      </c>
      <c r="AF85" s="20">
        <v>18000000</v>
      </c>
      <c r="AG85" s="30">
        <v>10300000</v>
      </c>
      <c r="AH85" s="19">
        <v>10300000</v>
      </c>
      <c r="AI85" s="14">
        <f t="shared" si="18"/>
        <v>0.13918918918918918</v>
      </c>
    </row>
    <row r="86" spans="1:35" s="8" customFormat="1" ht="150" x14ac:dyDescent="0.25">
      <c r="A86" s="8" t="s">
        <v>67</v>
      </c>
      <c r="B86" s="8" t="s">
        <v>409</v>
      </c>
      <c r="C86" s="9">
        <v>1905</v>
      </c>
      <c r="D86" s="8" t="s">
        <v>410</v>
      </c>
      <c r="E86" s="9">
        <v>1905054</v>
      </c>
      <c r="F86" s="10">
        <v>190505400</v>
      </c>
      <c r="G86" s="11" t="s">
        <v>433</v>
      </c>
      <c r="H86" s="12" t="s">
        <v>434</v>
      </c>
      <c r="I86" s="13">
        <v>12</v>
      </c>
      <c r="J86" s="13">
        <v>3</v>
      </c>
      <c r="K86" s="29">
        <v>0</v>
      </c>
      <c r="L86" s="14">
        <v>0</v>
      </c>
      <c r="M86" s="15">
        <v>202500000049057</v>
      </c>
      <c r="N86" s="15" t="s">
        <v>474</v>
      </c>
      <c r="O86" s="15" t="s">
        <v>105</v>
      </c>
      <c r="P86" s="8" t="s">
        <v>457</v>
      </c>
      <c r="Q86" s="16">
        <v>530854.87</v>
      </c>
      <c r="R86" s="16">
        <v>0</v>
      </c>
      <c r="S86" s="16">
        <v>0</v>
      </c>
      <c r="T86" s="16">
        <v>0</v>
      </c>
      <c r="U86" s="16">
        <v>0</v>
      </c>
      <c r="V86" s="16">
        <v>0</v>
      </c>
      <c r="W86" s="16">
        <v>0</v>
      </c>
      <c r="X86" s="16">
        <v>0</v>
      </c>
      <c r="Y86" s="16">
        <v>174884780.75999999</v>
      </c>
      <c r="Z86" s="16">
        <v>0</v>
      </c>
      <c r="AA86" s="16">
        <v>3506826</v>
      </c>
      <c r="AB86" s="16">
        <v>0</v>
      </c>
      <c r="AC86" s="16">
        <v>0</v>
      </c>
      <c r="AD86" s="16">
        <v>0</v>
      </c>
      <c r="AE86" s="17">
        <v>178922461.63</v>
      </c>
      <c r="AF86" s="20">
        <v>110163333</v>
      </c>
      <c r="AG86" s="30">
        <v>26448333</v>
      </c>
      <c r="AH86" s="19">
        <v>26448333</v>
      </c>
      <c r="AI86" s="14">
        <f t="shared" si="18"/>
        <v>0.14782008228063301</v>
      </c>
    </row>
    <row r="87" spans="1:35" s="8" customFormat="1" ht="120" x14ac:dyDescent="0.25">
      <c r="A87" s="8" t="s">
        <v>67</v>
      </c>
      <c r="B87" s="8" t="s">
        <v>409</v>
      </c>
      <c r="C87" s="9">
        <v>1905</v>
      </c>
      <c r="D87" s="8" t="s">
        <v>410</v>
      </c>
      <c r="E87" s="9">
        <v>1905015</v>
      </c>
      <c r="F87" s="10">
        <v>190501501</v>
      </c>
      <c r="G87" s="11" t="s">
        <v>435</v>
      </c>
      <c r="H87" s="12" t="s">
        <v>436</v>
      </c>
      <c r="I87" s="13">
        <v>9</v>
      </c>
      <c r="J87" s="13">
        <v>3</v>
      </c>
      <c r="K87" s="29">
        <v>0</v>
      </c>
      <c r="L87" s="14">
        <v>0</v>
      </c>
      <c r="M87" s="15">
        <v>202500000048881</v>
      </c>
      <c r="N87" s="15" t="s">
        <v>475</v>
      </c>
      <c r="O87" s="15" t="s">
        <v>105</v>
      </c>
      <c r="P87" s="8" t="s">
        <v>458</v>
      </c>
      <c r="Q87" s="16">
        <v>0</v>
      </c>
      <c r="R87" s="16">
        <v>0</v>
      </c>
      <c r="S87" s="16">
        <v>0</v>
      </c>
      <c r="T87" s="16">
        <v>0</v>
      </c>
      <c r="U87" s="16">
        <v>0</v>
      </c>
      <c r="V87" s="16">
        <v>0</v>
      </c>
      <c r="W87" s="16">
        <v>0</v>
      </c>
      <c r="X87" s="16">
        <v>0</v>
      </c>
      <c r="Y87" s="16">
        <v>25000000</v>
      </c>
      <c r="Z87" s="16">
        <v>0</v>
      </c>
      <c r="AA87" s="16">
        <v>0</v>
      </c>
      <c r="AB87" s="16">
        <v>0</v>
      </c>
      <c r="AC87" s="16">
        <v>0</v>
      </c>
      <c r="AD87" s="16">
        <v>0</v>
      </c>
      <c r="AE87" s="17">
        <v>25000000</v>
      </c>
      <c r="AF87" s="20">
        <v>7846667</v>
      </c>
      <c r="AG87" s="30">
        <v>4066660</v>
      </c>
      <c r="AH87" s="19">
        <v>4066660</v>
      </c>
      <c r="AI87" s="14">
        <f t="shared" si="18"/>
        <v>0.16266639999999999</v>
      </c>
    </row>
    <row r="88" spans="1:35" s="8" customFormat="1" ht="90" x14ac:dyDescent="0.25">
      <c r="A88" s="8" t="s">
        <v>67</v>
      </c>
      <c r="B88" s="8" t="s">
        <v>409</v>
      </c>
      <c r="C88" s="9">
        <v>1905</v>
      </c>
      <c r="D88" s="8" t="s">
        <v>410</v>
      </c>
      <c r="E88" s="9">
        <v>1905029</v>
      </c>
      <c r="F88" s="10">
        <v>190502900</v>
      </c>
      <c r="G88" s="11" t="s">
        <v>437</v>
      </c>
      <c r="H88" s="12" t="s">
        <v>438</v>
      </c>
      <c r="I88" s="13">
        <v>1</v>
      </c>
      <c r="J88" s="13">
        <v>1</v>
      </c>
      <c r="K88" s="29">
        <v>0</v>
      </c>
      <c r="L88" s="14">
        <v>0</v>
      </c>
      <c r="M88" s="15">
        <v>202500000049009</v>
      </c>
      <c r="N88" s="15" t="s">
        <v>476</v>
      </c>
      <c r="O88" s="15" t="s">
        <v>105</v>
      </c>
      <c r="P88" s="8" t="s">
        <v>459</v>
      </c>
      <c r="Q88" s="16">
        <v>0</v>
      </c>
      <c r="R88" s="16">
        <v>0</v>
      </c>
      <c r="S88" s="16">
        <v>0</v>
      </c>
      <c r="T88" s="16">
        <v>0</v>
      </c>
      <c r="U88" s="16">
        <v>0</v>
      </c>
      <c r="V88" s="16">
        <v>0</v>
      </c>
      <c r="W88" s="16">
        <v>0</v>
      </c>
      <c r="X88" s="16">
        <v>0</v>
      </c>
      <c r="Y88" s="16">
        <v>6000000</v>
      </c>
      <c r="Z88" s="16">
        <v>0</v>
      </c>
      <c r="AA88" s="16">
        <v>0</v>
      </c>
      <c r="AB88" s="16">
        <v>0</v>
      </c>
      <c r="AC88" s="16">
        <v>0</v>
      </c>
      <c r="AD88" s="16">
        <v>0</v>
      </c>
      <c r="AE88" s="17">
        <v>6000000</v>
      </c>
      <c r="AF88" s="20">
        <v>6000000</v>
      </c>
      <c r="AG88" s="30">
        <v>0</v>
      </c>
      <c r="AH88" s="19">
        <v>0</v>
      </c>
      <c r="AI88" s="14">
        <f t="shared" si="18"/>
        <v>0</v>
      </c>
    </row>
    <row r="89" spans="1:35" s="8" customFormat="1" ht="120" x14ac:dyDescent="0.25">
      <c r="A89" s="8" t="s">
        <v>67</v>
      </c>
      <c r="B89" s="8" t="s">
        <v>409</v>
      </c>
      <c r="C89" s="9">
        <v>1905</v>
      </c>
      <c r="D89" s="8" t="s">
        <v>410</v>
      </c>
      <c r="E89" s="9">
        <v>1905035</v>
      </c>
      <c r="F89" s="10">
        <v>190503505</v>
      </c>
      <c r="G89" s="11" t="s">
        <v>439</v>
      </c>
      <c r="H89" s="12" t="s">
        <v>440</v>
      </c>
      <c r="I89" s="13">
        <v>1</v>
      </c>
      <c r="J89" s="13">
        <v>1</v>
      </c>
      <c r="K89" s="29">
        <v>0</v>
      </c>
      <c r="L89" s="14">
        <v>0</v>
      </c>
      <c r="M89" s="15">
        <v>202500000049028</v>
      </c>
      <c r="N89" s="15" t="s">
        <v>477</v>
      </c>
      <c r="O89" s="15" t="s">
        <v>105</v>
      </c>
      <c r="P89" s="8" t="s">
        <v>460</v>
      </c>
      <c r="Q89" s="16">
        <v>0</v>
      </c>
      <c r="R89" s="16">
        <v>0</v>
      </c>
      <c r="S89" s="16">
        <v>0</v>
      </c>
      <c r="T89" s="16">
        <v>0</v>
      </c>
      <c r="U89" s="16">
        <v>0</v>
      </c>
      <c r="V89" s="16">
        <v>0</v>
      </c>
      <c r="W89" s="16">
        <v>0</v>
      </c>
      <c r="X89" s="16">
        <v>0</v>
      </c>
      <c r="Y89" s="16">
        <v>15000000</v>
      </c>
      <c r="Z89" s="16">
        <v>0</v>
      </c>
      <c r="AA89" s="16">
        <v>0</v>
      </c>
      <c r="AB89" s="16">
        <v>0</v>
      </c>
      <c r="AC89" s="16">
        <v>0</v>
      </c>
      <c r="AD89" s="16">
        <v>0</v>
      </c>
      <c r="AE89" s="17">
        <v>15000000</v>
      </c>
      <c r="AF89" s="20">
        <v>15000000</v>
      </c>
      <c r="AG89" s="30">
        <v>1500000</v>
      </c>
      <c r="AH89" s="19">
        <v>1500000</v>
      </c>
      <c r="AI89" s="14">
        <f t="shared" si="18"/>
        <v>0.1</v>
      </c>
    </row>
    <row r="90" spans="1:35" s="8" customFormat="1" ht="225" x14ac:dyDescent="0.25">
      <c r="A90" s="8" t="s">
        <v>67</v>
      </c>
      <c r="B90" s="8" t="s">
        <v>409</v>
      </c>
      <c r="C90" s="9">
        <v>1905</v>
      </c>
      <c r="D90" s="8" t="s">
        <v>410</v>
      </c>
      <c r="E90" s="9">
        <v>1905052</v>
      </c>
      <c r="F90" s="10">
        <v>190505200</v>
      </c>
      <c r="G90" s="11" t="s">
        <v>441</v>
      </c>
      <c r="H90" s="12" t="s">
        <v>442</v>
      </c>
      <c r="I90" s="13">
        <v>5</v>
      </c>
      <c r="J90" s="13">
        <v>1</v>
      </c>
      <c r="K90" s="29">
        <v>0</v>
      </c>
      <c r="L90" s="14">
        <v>0</v>
      </c>
      <c r="M90" s="15">
        <v>202500000049049</v>
      </c>
      <c r="N90" s="15" t="s">
        <v>478</v>
      </c>
      <c r="O90" s="15" t="s">
        <v>105</v>
      </c>
      <c r="P90" s="8" t="s">
        <v>461</v>
      </c>
      <c r="Q90" s="16">
        <v>0</v>
      </c>
      <c r="R90" s="16">
        <v>0</v>
      </c>
      <c r="S90" s="16">
        <v>0</v>
      </c>
      <c r="T90" s="16">
        <v>0</v>
      </c>
      <c r="U90" s="16">
        <v>0</v>
      </c>
      <c r="V90" s="16">
        <v>0</v>
      </c>
      <c r="W90" s="16">
        <v>0</v>
      </c>
      <c r="X90" s="16">
        <v>0</v>
      </c>
      <c r="Y90" s="16">
        <v>108000000</v>
      </c>
      <c r="Z90" s="16">
        <v>0</v>
      </c>
      <c r="AA90" s="16">
        <v>0</v>
      </c>
      <c r="AB90" s="16">
        <v>0</v>
      </c>
      <c r="AC90" s="16">
        <v>0</v>
      </c>
      <c r="AD90" s="16">
        <v>0</v>
      </c>
      <c r="AE90" s="17">
        <v>108000000</v>
      </c>
      <c r="AF90" s="20">
        <v>67639993</v>
      </c>
      <c r="AG90" s="30">
        <v>28730000</v>
      </c>
      <c r="AH90" s="19">
        <v>28730000</v>
      </c>
      <c r="AI90" s="14">
        <f t="shared" si="18"/>
        <v>0.26601851851851854</v>
      </c>
    </row>
    <row r="91" spans="1:35" s="8" customFormat="1" ht="180" x14ac:dyDescent="0.25">
      <c r="A91" s="8" t="s">
        <v>67</v>
      </c>
      <c r="B91" s="8" t="s">
        <v>409</v>
      </c>
      <c r="C91" s="9">
        <v>1906</v>
      </c>
      <c r="D91" s="8" t="s">
        <v>443</v>
      </c>
      <c r="E91" s="9">
        <v>1906044</v>
      </c>
      <c r="F91" s="10">
        <v>190604400</v>
      </c>
      <c r="G91" s="11" t="s">
        <v>444</v>
      </c>
      <c r="H91" s="12" t="s">
        <v>445</v>
      </c>
      <c r="I91" s="13">
        <v>18500</v>
      </c>
      <c r="J91" s="13">
        <v>4625</v>
      </c>
      <c r="K91" s="29">
        <v>0</v>
      </c>
      <c r="L91" s="14">
        <v>0</v>
      </c>
      <c r="M91" s="15">
        <v>202500000049061</v>
      </c>
      <c r="N91" s="15" t="s">
        <v>479</v>
      </c>
      <c r="O91" s="15" t="s">
        <v>105</v>
      </c>
      <c r="P91" s="8" t="s">
        <v>462</v>
      </c>
      <c r="Q91" s="16">
        <v>2850535259.7799997</v>
      </c>
      <c r="R91" s="16">
        <v>0</v>
      </c>
      <c r="S91" s="16">
        <v>0</v>
      </c>
      <c r="T91" s="16">
        <v>0</v>
      </c>
      <c r="U91" s="16">
        <v>0</v>
      </c>
      <c r="V91" s="16">
        <v>0</v>
      </c>
      <c r="W91" s="16">
        <v>0</v>
      </c>
      <c r="X91" s="16">
        <v>0</v>
      </c>
      <c r="Y91" s="16">
        <v>13075318810</v>
      </c>
      <c r="Z91" s="16">
        <v>0</v>
      </c>
      <c r="AA91" s="16">
        <v>6108608.71</v>
      </c>
      <c r="AB91" s="16">
        <v>15515918200.639999</v>
      </c>
      <c r="AC91" s="16">
        <v>0</v>
      </c>
      <c r="AD91" s="16">
        <v>0</v>
      </c>
      <c r="AE91" s="17">
        <v>31447880879.129997</v>
      </c>
      <c r="AF91" s="20">
        <v>11166224735.57</v>
      </c>
      <c r="AG91" s="30">
        <v>10814705298.57</v>
      </c>
      <c r="AH91" s="19">
        <v>10814705298.57</v>
      </c>
      <c r="AI91" s="14">
        <f t="shared" si="18"/>
        <v>0.34389297454211126</v>
      </c>
    </row>
  </sheetData>
  <mergeCells count="1">
    <mergeCell ref="A1:AI1"/>
  </mergeCells>
  <phoneticPr fontId="6" type="noConversion"/>
  <conditionalFormatting sqref="L3:L74">
    <cfRule type="cellIs" dxfId="17" priority="16" operator="between">
      <formula>0.3</formula>
      <formula>0.49</formula>
    </cfRule>
    <cfRule type="cellIs" dxfId="16" priority="17" operator="between">
      <formula>0</formula>
      <formula>0.3</formula>
    </cfRule>
    <cfRule type="cellIs" dxfId="15" priority="18" operator="between">
      <formula>0.5</formula>
      <formula>1</formula>
    </cfRule>
  </conditionalFormatting>
  <conditionalFormatting sqref="AI3:AI74">
    <cfRule type="cellIs" dxfId="14" priority="13" operator="between">
      <formula>0.3</formula>
      <formula>0.49</formula>
    </cfRule>
    <cfRule type="cellIs" dxfId="13" priority="14" operator="between">
      <formula>0</formula>
      <formula>0.3</formula>
    </cfRule>
    <cfRule type="cellIs" dxfId="12" priority="15" operator="between">
      <formula>0.5</formula>
      <formula>1</formula>
    </cfRule>
  </conditionalFormatting>
  <conditionalFormatting sqref="L75:L91">
    <cfRule type="cellIs" dxfId="5" priority="4" operator="between">
      <formula>0.3</formula>
      <formula>0.49</formula>
    </cfRule>
    <cfRule type="cellIs" dxfId="4" priority="5" operator="between">
      <formula>0</formula>
      <formula>0.3</formula>
    </cfRule>
    <cfRule type="cellIs" dxfId="3" priority="6" operator="between">
      <formula>0.5</formula>
      <formula>1</formula>
    </cfRule>
  </conditionalFormatting>
  <conditionalFormatting sqref="AI75:AI91">
    <cfRule type="cellIs" dxfId="2" priority="1" operator="between">
      <formula>0.3</formula>
      <formula>0.49</formula>
    </cfRule>
    <cfRule type="cellIs" dxfId="1" priority="2" operator="between">
      <formula>0</formula>
      <formula>0.3</formula>
    </cfRule>
    <cfRule type="cellIs" dxfId="0" priority="3" operator="between">
      <formula>0.5</formula>
      <formul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POAI - PA-2026_V2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2025-01-29T02:07:15Z</dcterms:created>
  <dcterms:modified xsi:type="dcterms:W3CDTF">2026-06-20T14:40:20Z</dcterms:modified>
</cp:coreProperties>
</file>